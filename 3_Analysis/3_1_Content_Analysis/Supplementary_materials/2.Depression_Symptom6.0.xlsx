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ngh\Desktop\缩减版\"/>
    </mc:Choice>
  </mc:AlternateContent>
  <xr:revisionPtr revIDLastSave="0" documentId="13_ncr:1_{054A597D-6F98-444A-B8B0-9151E3D7176E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症状表" sheetId="3" r:id="rId1"/>
    <sheet name="编码表" sheetId="15" r:id="rId2"/>
    <sheet name="画图" sheetId="19" r:id="rId3"/>
    <sheet name="jaccard" sheetId="21" r:id="rId4"/>
    <sheet name="dsm-5" sheetId="22" r:id="rId5"/>
    <sheet name="儿童青少年症状" sheetId="26" r:id="rId6"/>
    <sheet name="中国的症状" sheetId="24" r:id="rId7"/>
    <sheet name="四个量表DSM-5" sheetId="2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7" l="1"/>
  <c r="D32" i="27"/>
  <c r="E32" i="27"/>
  <c r="F32" i="27"/>
  <c r="E33" i="22"/>
  <c r="D33" i="22"/>
  <c r="E32" i="22"/>
  <c r="F32" i="22"/>
  <c r="G32" i="22"/>
  <c r="H32" i="22"/>
  <c r="I32" i="22"/>
  <c r="J32" i="22"/>
  <c r="J33" i="22" s="1"/>
  <c r="K32" i="22"/>
  <c r="K33" i="22" s="1"/>
  <c r="L32" i="22"/>
  <c r="L33" i="22" s="1"/>
  <c r="M32" i="22"/>
  <c r="M33" i="22" s="1"/>
  <c r="N32" i="22"/>
  <c r="N33" i="22" s="1"/>
  <c r="O32" i="22"/>
  <c r="O33" i="22" s="1"/>
  <c r="P32" i="22"/>
  <c r="P33" i="22" s="1"/>
  <c r="Q32" i="22"/>
  <c r="Q33" i="22" s="1"/>
  <c r="R32" i="22"/>
  <c r="R33" i="22" s="1"/>
  <c r="S32" i="22"/>
  <c r="S33" i="22" s="1"/>
  <c r="T32" i="22"/>
  <c r="T33" i="22" s="1"/>
  <c r="U32" i="22"/>
  <c r="V32" i="22"/>
  <c r="V33" i="22" s="1"/>
  <c r="W32" i="22"/>
  <c r="W33" i="22" s="1"/>
  <c r="X32" i="22"/>
  <c r="X33" i="22" s="1"/>
  <c r="Y32" i="22"/>
  <c r="Z32" i="22"/>
  <c r="AA32" i="22"/>
  <c r="AB32" i="22"/>
  <c r="AC32" i="22"/>
  <c r="AC33" i="22" s="1"/>
  <c r="AD32" i="22"/>
  <c r="AD33" i="22" s="1"/>
  <c r="AE32" i="22"/>
  <c r="AE33" i="22" s="1"/>
  <c r="AF32" i="22"/>
  <c r="D32" i="22"/>
  <c r="D92" i="21"/>
  <c r="AF89" i="21"/>
  <c r="AD91" i="21"/>
  <c r="AE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D91" i="21"/>
  <c r="D90" i="21"/>
  <c r="L89" i="19"/>
  <c r="AF89" i="19" s="1"/>
  <c r="C79" i="21"/>
  <c r="C88" i="15"/>
  <c r="AF90" i="19"/>
  <c r="AE91" i="19"/>
  <c r="D91" i="19"/>
  <c r="D90" i="19"/>
  <c r="D89" i="19"/>
  <c r="C88" i="19"/>
  <c r="C79" i="19"/>
  <c r="C78" i="19"/>
  <c r="C37" i="19"/>
  <c r="D91" i="15"/>
  <c r="AE88" i="15"/>
  <c r="AE89" i="15"/>
  <c r="K91" i="15"/>
  <c r="K88" i="15"/>
  <c r="F33" i="27"/>
  <c r="E33" i="27"/>
  <c r="D33" i="27"/>
  <c r="C33" i="27"/>
  <c r="G89" i="19"/>
  <c r="G90" i="19"/>
  <c r="U33" i="22"/>
  <c r="Y33" i="22"/>
  <c r="Z33" i="22"/>
  <c r="AA33" i="22"/>
  <c r="AB33" i="22"/>
  <c r="F33" i="22"/>
  <c r="G33" i="22"/>
  <c r="H33" i="22"/>
  <c r="I33" i="22"/>
  <c r="AC90" i="21"/>
  <c r="AD90" i="21"/>
  <c r="AE90" i="21"/>
  <c r="C3" i="21"/>
  <c r="E90" i="21"/>
  <c r="F90" i="21"/>
  <c r="G90" i="21"/>
  <c r="H90" i="21"/>
  <c r="I90" i="21"/>
  <c r="J90" i="21"/>
  <c r="J92" i="21" s="1"/>
  <c r="K90" i="21"/>
  <c r="L90" i="21"/>
  <c r="L92" i="21" s="1"/>
  <c r="M90" i="21"/>
  <c r="M92" i="21" s="1"/>
  <c r="N90" i="21"/>
  <c r="O90" i="21"/>
  <c r="P90" i="21"/>
  <c r="Q90" i="21"/>
  <c r="R90" i="21"/>
  <c r="S90" i="21"/>
  <c r="T90" i="21"/>
  <c r="U90" i="21"/>
  <c r="V90" i="21"/>
  <c r="V92" i="21" s="1"/>
  <c r="W90" i="21"/>
  <c r="X90" i="21"/>
  <c r="Y90" i="21"/>
  <c r="Z90" i="21"/>
  <c r="AA90" i="21"/>
  <c r="AB90" i="21"/>
  <c r="C87" i="21"/>
  <c r="C86" i="21"/>
  <c r="C85" i="21"/>
  <c r="C84" i="21"/>
  <c r="C83" i="21"/>
  <c r="C82" i="21"/>
  <c r="C81" i="21"/>
  <c r="C80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E90" i="19"/>
  <c r="F90" i="19"/>
  <c r="H90" i="19"/>
  <c r="I90" i="19"/>
  <c r="J90" i="19"/>
  <c r="K90" i="19"/>
  <c r="L90" i="19"/>
  <c r="M90" i="19"/>
  <c r="N90" i="19"/>
  <c r="O90" i="19"/>
  <c r="P90" i="19"/>
  <c r="Q90" i="19"/>
  <c r="R90" i="19"/>
  <c r="S90" i="19"/>
  <c r="T90" i="19"/>
  <c r="U90" i="19"/>
  <c r="V90" i="19"/>
  <c r="W90" i="19"/>
  <c r="X90" i="19"/>
  <c r="Y90" i="19"/>
  <c r="Z90" i="19"/>
  <c r="AA90" i="19"/>
  <c r="AB90" i="19"/>
  <c r="AC90" i="19"/>
  <c r="AC91" i="19" s="1"/>
  <c r="AD90" i="19"/>
  <c r="AE90" i="19"/>
  <c r="E89" i="19"/>
  <c r="F89" i="19"/>
  <c r="H89" i="19"/>
  <c r="I89" i="19"/>
  <c r="J89" i="19"/>
  <c r="K89" i="19"/>
  <c r="M89" i="19"/>
  <c r="N89" i="19"/>
  <c r="O89" i="19"/>
  <c r="P89" i="19"/>
  <c r="Q89" i="19"/>
  <c r="R89" i="19"/>
  <c r="S89" i="19"/>
  <c r="T89" i="19"/>
  <c r="U89" i="19"/>
  <c r="V89" i="19"/>
  <c r="W89" i="19"/>
  <c r="X89" i="19"/>
  <c r="Y89" i="19"/>
  <c r="Z89" i="19"/>
  <c r="AA89" i="19"/>
  <c r="AB89" i="19"/>
  <c r="AC89" i="19"/>
  <c r="AD89" i="19"/>
  <c r="AE89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80" i="19"/>
  <c r="C81" i="19"/>
  <c r="C82" i="19"/>
  <c r="C83" i="19"/>
  <c r="C84" i="19"/>
  <c r="C85" i="19"/>
  <c r="C86" i="19"/>
  <c r="C87" i="19"/>
  <c r="C3" i="19"/>
  <c r="AE90" i="15"/>
  <c r="W88" i="15"/>
  <c r="M91" i="15"/>
  <c r="M88" i="15"/>
  <c r="I91" i="15"/>
  <c r="E91" i="15"/>
  <c r="F91" i="15"/>
  <c r="G91" i="15"/>
  <c r="H91" i="15"/>
  <c r="J91" i="15"/>
  <c r="L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C91" i="15"/>
  <c r="F88" i="15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D90" i="3"/>
  <c r="D88" i="15"/>
  <c r="E88" i="15"/>
  <c r="G88" i="15"/>
  <c r="H88" i="15"/>
  <c r="I88" i="15"/>
  <c r="J88" i="15"/>
  <c r="L88" i="15"/>
  <c r="N88" i="15"/>
  <c r="O88" i="15"/>
  <c r="P88" i="15"/>
  <c r="Q88" i="15"/>
  <c r="R88" i="15"/>
  <c r="S88" i="15"/>
  <c r="T88" i="15"/>
  <c r="U88" i="15"/>
  <c r="V88" i="15"/>
  <c r="X88" i="15"/>
  <c r="Y88" i="15"/>
  <c r="Z88" i="15"/>
  <c r="AA88" i="15"/>
  <c r="AB88" i="15"/>
  <c r="AC88" i="15"/>
  <c r="AD88" i="15"/>
  <c r="C88" i="21" l="1"/>
  <c r="AD92" i="21"/>
  <c r="U91" i="19"/>
  <c r="M91" i="19"/>
  <c r="Y91" i="19"/>
  <c r="Y92" i="19" s="1"/>
  <c r="Q91" i="19"/>
  <c r="Z91" i="19"/>
  <c r="Z93" i="19" s="1"/>
  <c r="N91" i="19"/>
  <c r="N92" i="19" s="1"/>
  <c r="W91" i="19"/>
  <c r="W92" i="19" s="1"/>
  <c r="U92" i="19"/>
  <c r="W93" i="19"/>
  <c r="U93" i="19"/>
  <c r="AB91" i="19"/>
  <c r="AB93" i="19" s="1"/>
  <c r="P91" i="19"/>
  <c r="P93" i="19" s="1"/>
  <c r="AE92" i="19"/>
  <c r="S91" i="19"/>
  <c r="S93" i="19" s="1"/>
  <c r="AA91" i="19"/>
  <c r="AA93" i="19" s="1"/>
  <c r="O91" i="19"/>
  <c r="O93" i="19" s="1"/>
  <c r="AD91" i="19"/>
  <c r="AD93" i="19" s="1"/>
  <c r="R91" i="19"/>
  <c r="R92" i="19" s="1"/>
  <c r="Y93" i="19"/>
  <c r="M93" i="19"/>
  <c r="AC92" i="19"/>
  <c r="Q92" i="19"/>
  <c r="X91" i="19"/>
  <c r="X92" i="19" s="1"/>
  <c r="L91" i="19"/>
  <c r="K91" i="19"/>
  <c r="K93" i="19" s="1"/>
  <c r="O92" i="19"/>
  <c r="V91" i="19"/>
  <c r="V92" i="19" s="1"/>
  <c r="J91" i="19"/>
  <c r="J92" i="19" s="1"/>
  <c r="I91" i="19"/>
  <c r="I93" i="19" s="1"/>
  <c r="M92" i="19"/>
  <c r="D92" i="19"/>
  <c r="T91" i="19"/>
  <c r="T92" i="19" s="1"/>
  <c r="H91" i="19"/>
  <c r="H93" i="19" s="1"/>
  <c r="AC93" i="19"/>
  <c r="Q93" i="19"/>
  <c r="G91" i="19"/>
  <c r="G92" i="19" s="1"/>
  <c r="F91" i="19"/>
  <c r="F92" i="19" s="1"/>
  <c r="E91" i="19"/>
  <c r="E92" i="19" s="1"/>
  <c r="AB92" i="21"/>
  <c r="P92" i="21"/>
  <c r="AA92" i="21"/>
  <c r="O92" i="21"/>
  <c r="N92" i="21"/>
  <c r="Z92" i="21"/>
  <c r="Y92" i="21"/>
  <c r="X92" i="21"/>
  <c r="W92" i="21"/>
  <c r="K92" i="21"/>
  <c r="U92" i="21"/>
  <c r="I92" i="21"/>
  <c r="T92" i="21"/>
  <c r="H92" i="21"/>
  <c r="AE92" i="21"/>
  <c r="S92" i="21"/>
  <c r="G92" i="21"/>
  <c r="R92" i="21"/>
  <c r="F92" i="21"/>
  <c r="AC92" i="21"/>
  <c r="Q92" i="21"/>
  <c r="E92" i="21"/>
  <c r="L93" i="19" l="1"/>
  <c r="AF91" i="19"/>
  <c r="L92" i="19"/>
  <c r="Z92" i="19"/>
  <c r="E93" i="19"/>
  <c r="P92" i="19"/>
  <c r="AB92" i="19"/>
  <c r="F93" i="19"/>
  <c r="S92" i="19"/>
  <c r="AE93" i="19"/>
  <c r="AA92" i="19"/>
  <c r="I92" i="19"/>
  <c r="D93" i="19"/>
  <c r="AD92" i="19"/>
  <c r="H92" i="19"/>
  <c r="R93" i="19"/>
  <c r="J93" i="19"/>
  <c r="V93" i="19"/>
  <c r="N93" i="19"/>
  <c r="K92" i="19"/>
  <c r="G93" i="19"/>
  <c r="T93" i="19"/>
  <c r="X93" i="19"/>
</calcChain>
</file>

<file path=xl/sharedStrings.xml><?xml version="1.0" encoding="utf-8"?>
<sst xmlns="http://schemas.openxmlformats.org/spreadsheetml/2006/main" count="1041" uniqueCount="679">
  <si>
    <t>57．经常有自杀的念头。</t>
    <phoneticPr fontId="5" type="noConversion"/>
  </si>
  <si>
    <r>
      <t>15、想结束自己的生命</t>
    </r>
    <r>
      <rPr>
        <sz val="10.5"/>
        <color theme="1"/>
        <rFont val="Times New Roman"/>
        <family val="1"/>
      </rPr>
      <t xml:space="preserve">  </t>
    </r>
    <phoneticPr fontId="5" type="noConversion"/>
  </si>
  <si>
    <t>9. 自杀意向</t>
    <phoneticPr fontId="5" type="noConversion"/>
  </si>
  <si>
    <t>20.你曾经想过自杀吗？</t>
    <phoneticPr fontId="5" type="noConversion"/>
  </si>
  <si>
    <t>9  自杀观念</t>
    <phoneticPr fontId="5" type="noConversion"/>
  </si>
  <si>
    <t>自杀意念/自杀</t>
    <phoneticPr fontId="5" type="noConversion"/>
  </si>
  <si>
    <t>4.“Have you felt like crying out in the last week?”</t>
    <phoneticPr fontId="10" type="noConversion"/>
  </si>
  <si>
    <t>13．容易哭泣。</t>
    <phoneticPr fontId="5" type="noConversion"/>
  </si>
  <si>
    <r>
      <t>20、容易哭泣</t>
    </r>
    <r>
      <rPr>
        <sz val="10.5"/>
        <color theme="1"/>
        <rFont val="Times New Roman"/>
        <family val="1"/>
      </rPr>
      <t xml:space="preserve">   </t>
    </r>
    <phoneticPr fontId="5" type="noConversion"/>
  </si>
  <si>
    <t>6经常哭泣</t>
    <phoneticPr fontId="10" type="noConversion"/>
  </si>
  <si>
    <t xml:space="preserve">
10. 哭泣</t>
    <phoneticPr fontId="5" type="noConversion"/>
  </si>
  <si>
    <t>2，你要哭或想哭吗？</t>
    <phoneticPr fontId="5" type="noConversion"/>
  </si>
  <si>
    <t>3.我一阵阵哭出来或觉得想哭(易哭)。</t>
    <phoneticPr fontId="5" type="noConversion"/>
  </si>
  <si>
    <t>10  哭泣</t>
  </si>
  <si>
    <t>14经常哭泣</t>
    <phoneticPr fontId="10" type="noConversion"/>
  </si>
  <si>
    <t>易尴尬</t>
    <phoneticPr fontId="5" type="noConversion"/>
  </si>
  <si>
    <t xml:space="preserve">6.注意力问题 </t>
  </si>
  <si>
    <t>7思考问题或集中注意力很困难</t>
  </si>
  <si>
    <t>19.我上课注意力不集中</t>
    <phoneticPr fontId="5" type="noConversion"/>
  </si>
  <si>
    <t>19. 注意困难</t>
    <phoneticPr fontId="5" type="noConversion"/>
  </si>
  <si>
    <t>21不能准确思考和集中注意力</t>
    <phoneticPr fontId="10" type="noConversion"/>
  </si>
  <si>
    <t>13. 犹豫不决</t>
    <phoneticPr fontId="5" type="noConversion"/>
  </si>
  <si>
    <t>※16，你觉得决定什么事很容易吗？</t>
    <phoneticPr fontId="5" type="noConversion"/>
  </si>
  <si>
    <t>※16.我觉得做出决定是容易的(决断困难)。</t>
    <phoneticPr fontId="5" type="noConversion"/>
  </si>
  <si>
    <t>13  犹豫</t>
  </si>
  <si>
    <t>10做决定很难</t>
    <phoneticPr fontId="10" type="noConversion"/>
  </si>
  <si>
    <t>犹豫不决</t>
  </si>
  <si>
    <t>18家庭没有我更好</t>
    <phoneticPr fontId="10" type="noConversion"/>
  </si>
  <si>
    <t>家庭没有我更好</t>
  </si>
  <si>
    <t>喜欢与家人交谈</t>
    <phoneticPr fontId="5" type="noConversion"/>
  </si>
  <si>
    <t>11对家长脾气暴躁</t>
    <phoneticPr fontId="10" type="noConversion"/>
  </si>
  <si>
    <t>对家长易怒</t>
    <phoneticPr fontId="9" type="noConversion"/>
  </si>
  <si>
    <t>离家出走</t>
    <phoneticPr fontId="5" type="noConversion"/>
  </si>
  <si>
    <t>7.我对学校各种活动没有兴趣</t>
  </si>
  <si>
    <t>对学校各种活动没有兴趣</t>
  </si>
  <si>
    <t>21  讨厌学校</t>
  </si>
  <si>
    <t>讨厌学校</t>
  </si>
  <si>
    <t>27  争吵</t>
  </si>
  <si>
    <t>争吵</t>
  </si>
  <si>
    <t>26  不顺从</t>
  </si>
  <si>
    <t>不顺从</t>
  </si>
  <si>
    <t>5  不良行为</t>
  </si>
  <si>
    <t xml:space="preserve">
6. 惩罚感</t>
    <phoneticPr fontId="5" type="noConversion"/>
  </si>
  <si>
    <t>被惩罚感</t>
    <phoneticPr fontId="5" type="noConversion"/>
  </si>
  <si>
    <t>22、感到受骗，中了圈套或有人想抓您</t>
    <phoneticPr fontId="5" type="noConversion"/>
  </si>
  <si>
    <t>被害妄想</t>
    <phoneticPr fontId="5" type="noConversion"/>
  </si>
  <si>
    <t>多疑</t>
    <phoneticPr fontId="5" type="noConversion"/>
  </si>
  <si>
    <t>偏执</t>
  </si>
  <si>
    <t>疑病</t>
  </si>
  <si>
    <t>人格解体或现实解体（指非真实感或虚无妄想）</t>
    <phoneticPr fontId="5" type="noConversion"/>
  </si>
  <si>
    <t>完美主义</t>
    <phoneticPr fontId="5" type="noConversion"/>
  </si>
  <si>
    <t>强迫</t>
  </si>
  <si>
    <t>敌意感</t>
    <phoneticPr fontId="9" type="noConversion"/>
  </si>
  <si>
    <t xml:space="preserve">22  缺乏朋友 </t>
    <phoneticPr fontId="9" type="noConversion"/>
  </si>
  <si>
    <t>缺乏朋友</t>
  </si>
  <si>
    <t xml:space="preserve">20不想见朋友 </t>
    <phoneticPr fontId="9" type="noConversion"/>
  </si>
  <si>
    <t>属于社交减少的特殊症状</t>
    <phoneticPr fontId="9" type="noConversion"/>
  </si>
  <si>
    <t xml:space="preserve">不想见朋友 </t>
    <phoneticPr fontId="9" type="noConversion"/>
  </si>
  <si>
    <t>冷淡</t>
    <phoneticPr fontId="5" type="noConversion"/>
  </si>
  <si>
    <t xml:space="preserve">12  社交减少 </t>
    <phoneticPr fontId="9" type="noConversion"/>
  </si>
  <si>
    <t>6，你感到体重减轻了吗？</t>
    <phoneticPr fontId="5" type="noConversion"/>
  </si>
  <si>
    <t>7.我发觉我的体重在下降(体重减轻)。</t>
    <phoneticPr fontId="5" type="noConversion"/>
  </si>
  <si>
    <t>体重减轻</t>
  </si>
  <si>
    <t>末期失眠</t>
    <phoneticPr fontId="5" type="noConversion"/>
  </si>
  <si>
    <t>中期失眠</t>
  </si>
  <si>
    <t>前期失眠</t>
  </si>
  <si>
    <t>33睡眠增加</t>
    <phoneticPr fontId="10" type="noConversion"/>
  </si>
  <si>
    <t>16. 睡眠改变</t>
    <phoneticPr fontId="5" type="noConversion"/>
  </si>
  <si>
    <t>32比平时的睡眠要差</t>
    <phoneticPr fontId="10" type="noConversion"/>
  </si>
  <si>
    <t>睡眠质量差</t>
    <phoneticPr fontId="5" type="noConversion"/>
  </si>
  <si>
    <t>11.睡眠困难</t>
  </si>
  <si>
    <t>4我晚上睡眠不好(睡眠障碍)。</t>
    <phoneticPr fontId="5" type="noConversion"/>
  </si>
  <si>
    <t>16  睡眠障碍</t>
  </si>
  <si>
    <t>#睡眠障碍</t>
    <phoneticPr fontId="9" type="noConversion"/>
  </si>
  <si>
    <t>※5我吃得跟平常一样多(食欲减退)。</t>
    <phoneticPr fontId="5" type="noConversion"/>
  </si>
  <si>
    <t xml:space="preserve">
18. 食欲改变</t>
    <phoneticPr fontId="5" type="noConversion"/>
  </si>
  <si>
    <t>※5.你吃饭象平时一样多吗？食欲如何？</t>
    <phoneticPr fontId="5" type="noConversion"/>
  </si>
  <si>
    <t>18  食欲变化</t>
  </si>
  <si>
    <t>#食欲变化</t>
    <phoneticPr fontId="9" type="noConversion"/>
  </si>
  <si>
    <t>9.疲倦</t>
  </si>
  <si>
    <t>3感到很疲乏什么事也不想干</t>
  </si>
  <si>
    <t>6.我觉得疲劳</t>
    <phoneticPr fontId="5" type="noConversion"/>
  </si>
  <si>
    <t>20. 疲乏</t>
    <phoneticPr fontId="5" type="noConversion"/>
  </si>
  <si>
    <t>10.你无故感到疲劳吗？</t>
    <phoneticPr fontId="5" type="noConversion"/>
  </si>
  <si>
    <t>10.我无缘无故地感到疲乏(易倦)。</t>
    <phoneticPr fontId="5" type="noConversion"/>
  </si>
  <si>
    <t>17  疲劳</t>
  </si>
  <si>
    <t>5很累只愿闲坐</t>
    <phoneticPr fontId="10" type="noConversion"/>
  </si>
  <si>
    <t>疲惫感</t>
  </si>
  <si>
    <t>11.我头昏脑胀</t>
    <phoneticPr fontId="5" type="noConversion"/>
  </si>
  <si>
    <t>9，你的心跳比平时快吗？</t>
    <phoneticPr fontId="5" type="noConversion"/>
  </si>
  <si>
    <t>9.我心跳比平常快(心悸)。</t>
    <phoneticPr fontId="9" type="noConversion"/>
  </si>
  <si>
    <t>8，你为便秘烦恼吗？</t>
    <phoneticPr fontId="5" type="noConversion"/>
  </si>
  <si>
    <t>8.我有便秘的苦恼(便秘)。</t>
    <phoneticPr fontId="5" type="noConversion"/>
  </si>
  <si>
    <t>1.身体不适感</t>
  </si>
  <si>
    <t>#躯体化</t>
    <phoneticPr fontId="9" type="noConversion"/>
  </si>
  <si>
    <t>12，你做事情比平时慢吗？</t>
    <phoneticPr fontId="5" type="noConversion"/>
  </si>
  <si>
    <t>迟缓</t>
  </si>
  <si>
    <t>3.我沉默寡言</t>
    <phoneticPr fontId="5" type="noConversion"/>
  </si>
  <si>
    <t>12比平时说话要少</t>
    <phoneticPr fontId="10" type="noConversion"/>
  </si>
  <si>
    <t>言语减少</t>
  </si>
  <si>
    <t>13.你的头脑象往常一样清楚吗？</t>
    <phoneticPr fontId="5" type="noConversion"/>
  </si>
  <si>
    <t>※11.我的头脑跟平常-一样清楚(思考困难)。</t>
    <phoneticPr fontId="5" type="noConversion"/>
  </si>
  <si>
    <t>思考困难</t>
    <phoneticPr fontId="5" type="noConversion"/>
  </si>
  <si>
    <t>29在学校无乐趣</t>
  </si>
  <si>
    <t>2、我对以往感兴趣的事情还是有兴趣 8、我对自己的仪容（打扮自己）失去兴趣（有争议） 14、我能够欣赏一本好书或一项好的广播或电视节目</t>
    <phoneticPr fontId="10" type="noConversion"/>
  </si>
  <si>
    <t xml:space="preserve">32、对事物不感兴趣 </t>
    <phoneticPr fontId="5" type="noConversion"/>
  </si>
  <si>
    <t>2对任何事情都不感兴趣</t>
  </si>
  <si>
    <t>12. 兴趣缺乏</t>
    <phoneticPr fontId="5" type="noConversion"/>
  </si>
  <si>
    <t>※18.你仍旧喜爱自己平时喜爱的事情吗？</t>
    <phoneticPr fontId="5" type="noConversion"/>
  </si>
  <si>
    <t>※20平常感兴趣的事我仍然感兴趣(兴趣丧失)。</t>
    <phoneticPr fontId="10" type="noConversion"/>
  </si>
  <si>
    <t>2对任何事没兴趣</t>
    <phoneticPr fontId="5" type="noConversion"/>
  </si>
  <si>
    <t>10.我觉得生活没意思</t>
    <phoneticPr fontId="5" type="noConversion"/>
  </si>
  <si>
    <t>14.你感到生活很空虚吗？</t>
    <phoneticPr fontId="9" type="noConversion"/>
  </si>
  <si>
    <t>※18.我的生活过得很有意思(生活空虚感)。</t>
    <phoneticPr fontId="9" type="noConversion"/>
  </si>
  <si>
    <r>
      <t>5、对异性的兴趣减退</t>
    </r>
    <r>
      <rPr>
        <sz val="10.5"/>
        <color theme="1"/>
        <rFont val="Times New Roman"/>
        <family val="1"/>
      </rPr>
      <t xml:space="preserve">  </t>
    </r>
    <phoneticPr fontId="5" type="noConversion"/>
  </si>
  <si>
    <t>21. 性欲缺乏</t>
    <phoneticPr fontId="5" type="noConversion"/>
  </si>
  <si>
    <t>※7.你的性功能正常吗？乐意注意具有吸引力的异性，并好和他/她在一起、说话吗？</t>
    <phoneticPr fontId="5" type="noConversion"/>
  </si>
  <si>
    <t>※6.我与异性密切接触时和以往一样感到愉快(性兴趣减退)。</t>
    <phoneticPr fontId="5" type="noConversion"/>
  </si>
  <si>
    <t>性欲减退</t>
  </si>
  <si>
    <t>44．我常常无精打采，提不起劲来。</t>
    <phoneticPr fontId="5" type="noConversion"/>
  </si>
  <si>
    <t xml:space="preserve">
15. 精力不足</t>
    <phoneticPr fontId="5" type="noConversion"/>
  </si>
  <si>
    <r>
      <t>37</t>
    </r>
    <r>
      <rPr>
        <sz val="11"/>
        <color theme="1"/>
        <rFont val="等线"/>
        <family val="2"/>
        <scheme val="minor"/>
      </rPr>
      <t xml:space="preserve"> &amp; 38</t>
    </r>
    <phoneticPr fontId="9" type="noConversion"/>
  </si>
  <si>
    <t>※12．我觉得做经常做的事并没有困难(能力减退)。</t>
    <phoneticPr fontId="5" type="noConversion"/>
  </si>
  <si>
    <t>能力减退感</t>
    <phoneticPr fontId="5" type="noConversion"/>
  </si>
  <si>
    <t>life is meaningless</t>
  </si>
  <si>
    <t xml:space="preserve">3.毫无价值感 </t>
  </si>
  <si>
    <t xml:space="preserve">79、	感到自己没有什么价值  </t>
    <phoneticPr fontId="5" type="noConversion"/>
  </si>
  <si>
    <t>14. 无价值感</t>
    <phoneticPr fontId="5" type="noConversion"/>
  </si>
  <si>
    <t>※19，你感到自己是有用的和不可缺少的人吗？</t>
    <phoneticPr fontId="5" type="noConversion"/>
  </si>
  <si>
    <t>无价值感</t>
  </si>
  <si>
    <t>11认为没有人真正爱自己</t>
    <phoneticPr fontId="10" type="noConversion"/>
  </si>
  <si>
    <t>25  缺乏被爱感</t>
  </si>
  <si>
    <t>28没人真正爱我</t>
    <phoneticPr fontId="10" type="noConversion"/>
  </si>
  <si>
    <t>没人爱自己</t>
  </si>
  <si>
    <t>14  负性体像</t>
  </si>
  <si>
    <t>负性体像</t>
    <phoneticPr fontId="9" type="noConversion"/>
  </si>
  <si>
    <t>8憎恨自己</t>
    <phoneticPr fontId="10" type="noConversion"/>
  </si>
  <si>
    <t xml:space="preserve">
7. 自我嫌弃感</t>
    <phoneticPr fontId="5" type="noConversion"/>
  </si>
  <si>
    <t>7  自我憎恨 3 自我贬低 24  自我贬低（比同伴）</t>
    <phoneticPr fontId="9" type="noConversion"/>
  </si>
  <si>
    <t>23讨厌自己</t>
    <phoneticPr fontId="10" type="noConversion"/>
  </si>
  <si>
    <t>心理自卑</t>
    <phoneticPr fontId="9" type="noConversion"/>
  </si>
  <si>
    <t>12认为别人都比自己好</t>
    <phoneticPr fontId="10" type="noConversion"/>
  </si>
  <si>
    <t>13.我有自卑感</t>
    <phoneticPr fontId="5" type="noConversion"/>
  </si>
  <si>
    <t>#自卑/自信</t>
    <phoneticPr fontId="5" type="noConversion"/>
  </si>
  <si>
    <t>16．经常责怪自己。</t>
    <phoneticPr fontId="5" type="noConversion"/>
  </si>
  <si>
    <t>26、经常责怪自己</t>
    <phoneticPr fontId="5" type="noConversion"/>
  </si>
  <si>
    <t>8  自我责备</t>
  </si>
  <si>
    <t>自责/内疚</t>
    <phoneticPr fontId="10" type="noConversion"/>
  </si>
  <si>
    <t>压抑感</t>
    <phoneticPr fontId="5" type="noConversion"/>
  </si>
  <si>
    <t>最近12个月内连续≥2周感到非常伤心或绝望而停止平常的活动</t>
    <phoneticPr fontId="5" type="noConversion"/>
  </si>
  <si>
    <t>14．我感到前途没有希望。</t>
    <phoneticPr fontId="5" type="noConversion"/>
  </si>
  <si>
    <t xml:space="preserve">10、我对一切都是乐观的向前看 </t>
  </si>
  <si>
    <t xml:space="preserve">54、感到对前途没有希望 </t>
    <phoneticPr fontId="5" type="noConversion"/>
  </si>
  <si>
    <t>5觉得自己再也不会变好</t>
    <phoneticPr fontId="10" type="noConversion"/>
  </si>
  <si>
    <t>9.我对我的前途悲观失望</t>
  </si>
  <si>
    <t>2. 悲观</t>
    <phoneticPr fontId="5" type="noConversion"/>
  </si>
  <si>
    <t>※15.你对未来感到有希望吗？</t>
    <phoneticPr fontId="5" type="noConversion"/>
  </si>
  <si>
    <t>※14．我对将来抱有希望(绝望)。</t>
    <phoneticPr fontId="5" type="noConversion"/>
  </si>
  <si>
    <t>2  悲观</t>
  </si>
  <si>
    <t>3. 失败感</t>
  </si>
  <si>
    <t>失败感/成就感</t>
    <phoneticPr fontId="5" type="noConversion"/>
  </si>
  <si>
    <t>5.我感到苦闷</t>
    <phoneticPr fontId="5" type="noConversion"/>
  </si>
  <si>
    <t xml:space="preserve">30、感到苦闷  </t>
    <phoneticPr fontId="5" type="noConversion"/>
  </si>
  <si>
    <t>17 &amp;18</t>
    <phoneticPr fontId="9" type="noConversion"/>
  </si>
  <si>
    <t>2.“Have you felt alone in the last week?”</t>
    <phoneticPr fontId="10" type="noConversion"/>
  </si>
  <si>
    <t xml:space="preserve">29、感到孤独 </t>
    <phoneticPr fontId="5" type="noConversion"/>
  </si>
  <si>
    <t>10感到孤单</t>
    <phoneticPr fontId="10" type="noConversion"/>
  </si>
  <si>
    <t>17.我有孤独感</t>
    <phoneticPr fontId="5" type="noConversion"/>
  </si>
  <si>
    <t>20  孤独感</t>
  </si>
  <si>
    <t>27感到孤单</t>
    <phoneticPr fontId="10" type="noConversion"/>
  </si>
  <si>
    <t>孤独感</t>
    <phoneticPr fontId="5" type="noConversion"/>
  </si>
  <si>
    <t>17. 兴奋</t>
    <phoneticPr fontId="5" type="noConversion"/>
  </si>
  <si>
    <t>17，你比平时更容易激怒吗？</t>
    <phoneticPr fontId="5" type="noConversion"/>
  </si>
  <si>
    <t>15.我比平常容易生气激动(易激惹)</t>
    <phoneticPr fontId="5" type="noConversion"/>
  </si>
  <si>
    <t>14 &amp; 5</t>
    <phoneticPr fontId="9" type="noConversion"/>
  </si>
  <si>
    <t>害怕</t>
  </si>
  <si>
    <t>※3.你感到早晨心情最好吗？</t>
    <phoneticPr fontId="5" type="noConversion"/>
  </si>
  <si>
    <t>※⒉我觉得一天中早晨最好(晨重晚轻)。</t>
    <phoneticPr fontId="5" type="noConversion"/>
  </si>
  <si>
    <t>19  躯体忧虑 （担心躯体上的疼痛）</t>
    <phoneticPr fontId="5" type="noConversion"/>
  </si>
  <si>
    <t>26担心疼痛</t>
    <phoneticPr fontId="10" type="noConversion"/>
  </si>
  <si>
    <t>躯体忧虑</t>
    <phoneticPr fontId="9" type="noConversion"/>
  </si>
  <si>
    <t xml:space="preserve">4.担心焦虑 </t>
    <phoneticPr fontId="5" type="noConversion"/>
  </si>
  <si>
    <t xml:space="preserve">31、过分担忧 </t>
    <phoneticPr fontId="5" type="noConversion"/>
  </si>
  <si>
    <t>6  忧虑</t>
  </si>
  <si>
    <t>心理忧虑</t>
    <phoneticPr fontId="9" type="noConversion"/>
  </si>
  <si>
    <t>5.急躁</t>
  </si>
  <si>
    <t xml:space="preserve">
11. 激越</t>
    <phoneticPr fontId="5" type="noConversion"/>
  </si>
  <si>
    <t>13.我觉得不安而平静不下来(不安)</t>
    <phoneticPr fontId="5" type="noConversion"/>
  </si>
  <si>
    <t>4感到不安</t>
    <phoneticPr fontId="10" type="noConversion"/>
  </si>
  <si>
    <t>11  烦躁</t>
  </si>
  <si>
    <t>unhappy</t>
  </si>
  <si>
    <t>6、我感到愉快</t>
    <phoneticPr fontId="5" type="noConversion"/>
  </si>
  <si>
    <t>4. 无愉快感</t>
    <phoneticPr fontId="5" type="noConversion"/>
  </si>
  <si>
    <t>4  无愉快感</t>
  </si>
  <si>
    <t>1痛苦或不开心</t>
    <phoneticPr fontId="5" type="noConversion"/>
  </si>
  <si>
    <t>sad</t>
  </si>
  <si>
    <t>3.“Have you felt sad in the last week?”</t>
    <phoneticPr fontId="10" type="noConversion"/>
  </si>
  <si>
    <t>1悲哀</t>
    <phoneticPr fontId="5" type="noConversion"/>
  </si>
  <si>
    <t>悲哀</t>
  </si>
  <si>
    <t xml:space="preserve">8.低落 </t>
  </si>
  <si>
    <t>4、我能够哈哈大笑，并看到事物好的一面。 12、我好像感到情绪在渐渐低落</t>
    <phoneticPr fontId="10" type="noConversion"/>
  </si>
  <si>
    <t>1感到沮丧或不高兴</t>
    <phoneticPr fontId="5" type="noConversion"/>
  </si>
  <si>
    <t>1，你感到情绪沮丧，郁闷吗？</t>
    <phoneticPr fontId="5" type="noConversion"/>
  </si>
  <si>
    <t>情绪低沉/容易高兴</t>
    <phoneticPr fontId="5" type="noConversion"/>
  </si>
  <si>
    <t>blue</t>
  </si>
  <si>
    <t>1. 忧郁</t>
  </si>
  <si>
    <t>1.我觉得闷闷不乐,情绪低沉(忧郁)。</t>
    <phoneticPr fontId="5" type="noConversion"/>
  </si>
  <si>
    <t>忧郁</t>
  </si>
  <si>
    <t>1.“Have you felt depressed in the last week?”</t>
    <phoneticPr fontId="5" type="noConversion"/>
  </si>
  <si>
    <t>#抑郁情绪</t>
    <phoneticPr fontId="9" type="noConversion"/>
  </si>
  <si>
    <r>
      <rPr>
        <sz val="11"/>
        <color theme="1"/>
        <rFont val="Tahoma"/>
        <family val="3"/>
        <charset val="1"/>
      </rPr>
      <t>﻿</t>
    </r>
    <r>
      <rPr>
        <sz val="11"/>
        <color theme="1"/>
        <rFont val="宋体"/>
        <family val="3"/>
        <charset val="134"/>
      </rPr>
      <t>中国青少年健康相关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宋体"/>
        <family val="3"/>
        <charset val="134"/>
      </rPr>
      <t>危险行为调查问卷</t>
    </r>
    <r>
      <rPr>
        <sz val="11"/>
        <color theme="1"/>
        <rFont val="Calibri"/>
        <family val="3"/>
      </rPr>
      <t>(</t>
    </r>
    <r>
      <rPr>
        <sz val="11"/>
        <color theme="1"/>
        <rFont val="宋体"/>
        <family val="3"/>
        <charset val="134"/>
      </rPr>
      <t>初中</t>
    </r>
    <r>
      <rPr>
        <sz val="11"/>
        <color theme="1"/>
        <rFont val="Calibri"/>
        <family val="3"/>
      </rPr>
      <t>)</t>
    </r>
    <phoneticPr fontId="5" type="noConversion"/>
  </si>
  <si>
    <t>中国教育小组调查量表（CEPS）</t>
    <phoneticPr fontId="5" type="noConversion"/>
  </si>
  <si>
    <t>抑郁自编量表 sakuma2010</t>
    <phoneticPr fontId="5" type="noConversion"/>
  </si>
  <si>
    <t>中学生心理健康量表（MSSMHS）王极盛</t>
    <phoneticPr fontId="5" type="noConversion"/>
  </si>
  <si>
    <r>
      <rPr>
        <sz val="11"/>
        <color theme="1"/>
        <rFont val="Tahoma"/>
        <family val="2"/>
      </rPr>
      <t>﻿</t>
    </r>
    <r>
      <rPr>
        <sz val="11"/>
        <color theme="1"/>
        <rFont val="宋体"/>
        <family val="3"/>
        <charset val="134"/>
      </rPr>
      <t>Kutcher青少年抑郁量表</t>
    </r>
    <r>
      <rPr>
        <sz val="11"/>
        <color theme="1"/>
        <rFont val="Tahoma"/>
        <family val="2"/>
      </rPr>
      <t>﻿</t>
    </r>
    <r>
      <rPr>
        <sz val="11"/>
        <color theme="1"/>
        <rFont val="宋体"/>
        <family val="3"/>
        <charset val="134"/>
      </rPr>
      <t>（KADS-11）</t>
    </r>
    <phoneticPr fontId="10" type="noConversion"/>
  </si>
  <si>
    <t>SCL-90</t>
    <phoneticPr fontId="5" type="noConversion"/>
  </si>
  <si>
    <t>SMFQ</t>
    <phoneticPr fontId="5" type="noConversion"/>
  </si>
  <si>
    <t>中学生抑郁量表（王极盛编制）（cssds）</t>
  </si>
  <si>
    <t>BDI-II</t>
    <phoneticPr fontId="5" type="noConversion"/>
  </si>
  <si>
    <t>抑郁状态问卷（DSI）</t>
  </si>
  <si>
    <t>SDS</t>
    <phoneticPr fontId="5" type="noConversion"/>
  </si>
  <si>
    <t>CDI</t>
    <phoneticPr fontId="5" type="noConversion"/>
  </si>
  <si>
    <t>MFQ-C</t>
    <phoneticPr fontId="5" type="noConversion"/>
  </si>
  <si>
    <t>#是复合症状，其它标注的为可合并； *是存疑问题</t>
    <phoneticPr fontId="9" type="noConversion"/>
  </si>
  <si>
    <t>内容分析结果</t>
    <phoneticPr fontId="5" type="noConversion"/>
  </si>
  <si>
    <r>
      <t>注：</t>
    </r>
    <r>
      <rPr>
        <b/>
        <sz val="11"/>
        <color theme="1"/>
        <rFont val="宋体"/>
        <family val="3"/>
        <charset val="134"/>
      </rPr>
      <t>绿色高亮</t>
    </r>
    <r>
      <rPr>
        <sz val="11"/>
        <color theme="1"/>
        <rFont val="宋体"/>
        <family val="3"/>
        <charset val="134"/>
      </rPr>
      <t>为一个量表的多个题目归到一类，</t>
    </r>
    <r>
      <rPr>
        <b/>
        <sz val="11"/>
        <color theme="1"/>
        <rFont val="宋体"/>
        <family val="3"/>
        <charset val="134"/>
      </rPr>
      <t>红色高亮</t>
    </r>
    <r>
      <rPr>
        <sz val="11"/>
        <color theme="1"/>
        <rFont val="宋体"/>
        <family val="3"/>
        <charset val="134"/>
      </rPr>
      <t>为一个量表的一个题归为两个类别</t>
    </r>
    <phoneticPr fontId="5" type="noConversion"/>
  </si>
  <si>
    <t>ID</t>
    <phoneticPr fontId="9" type="noConversion"/>
  </si>
  <si>
    <t>3比平时不觉得饿</t>
    <phoneticPr fontId="10" type="noConversion"/>
  </si>
  <si>
    <t>4食欲增加</t>
    <phoneticPr fontId="10" type="noConversion"/>
  </si>
  <si>
    <t>25认为我很丑</t>
    <phoneticPr fontId="10" type="noConversion"/>
  </si>
  <si>
    <t>1.我感到忧愁</t>
  </si>
  <si>
    <t>5.我情绪低落</t>
  </si>
  <si>
    <t xml:space="preserve">7.生活无趣 </t>
  </si>
  <si>
    <t>#社交减少</t>
    <phoneticPr fontId="9" type="noConversion"/>
  </si>
  <si>
    <t>#易怒</t>
    <phoneticPr fontId="5" type="noConversion"/>
  </si>
  <si>
    <t>属于易怒的特殊症状</t>
    <phoneticPr fontId="5" type="noConversion"/>
  </si>
  <si>
    <t>医院焦虑与抑郁量表HADS</t>
    <phoneticPr fontId="5" type="noConversion"/>
  </si>
  <si>
    <t>CES-D</t>
    <phoneticPr fontId="5" type="noConversion"/>
  </si>
  <si>
    <t xml:space="preserve">1.我最近烦一些原来不烦心的事
</t>
    <phoneticPr fontId="5" type="noConversion"/>
  </si>
  <si>
    <t xml:space="preserve">2.我不想吃东西，胃口不好
</t>
    <phoneticPr fontId="5" type="noConversion"/>
  </si>
  <si>
    <t>4，我觉得自己不比别人差（反向）</t>
    <phoneticPr fontId="5" type="noConversion"/>
  </si>
  <si>
    <t>5.我不能集中精力做事</t>
    <phoneticPr fontId="5" type="noConversion"/>
  </si>
  <si>
    <t xml:space="preserve">3，我觉得沮丧，就算有家人和朋友帮助也不管用   6.我感到消沉 </t>
    <phoneticPr fontId="9" type="noConversion"/>
  </si>
  <si>
    <t xml:space="preserve">14、感到自己的精力下降，活动减慢、71、感到任何事情都很难做  </t>
    <phoneticPr fontId="9" type="noConversion"/>
  </si>
  <si>
    <t>8我感到未来有希望（反向）</t>
    <phoneticPr fontId="5" type="noConversion"/>
  </si>
  <si>
    <t>9.我觉得一直以来都很失败</t>
    <phoneticPr fontId="5" type="noConversion"/>
  </si>
  <si>
    <t>10.我感到害怕</t>
  </si>
  <si>
    <t>11.我睡不安稳</t>
  </si>
  <si>
    <t>13.我讲话比平时少</t>
    <phoneticPr fontId="5" type="noConversion"/>
  </si>
  <si>
    <t>14.我觉得孤独</t>
    <phoneticPr fontId="5" type="noConversion"/>
  </si>
  <si>
    <t>15.我觉得人们对我不友好</t>
    <phoneticPr fontId="5" type="noConversion"/>
  </si>
  <si>
    <t>12.我感到快乐（反向） 16.我生活愉快（反向）</t>
    <phoneticPr fontId="9" type="noConversion"/>
  </si>
  <si>
    <t>17.我哭过或想哭</t>
    <phoneticPr fontId="5" type="noConversion"/>
  </si>
  <si>
    <t>18.我感到悲伤难过</t>
    <phoneticPr fontId="5" type="noConversion"/>
  </si>
  <si>
    <t>19我觉得别人不喜欢我</t>
    <phoneticPr fontId="5" type="noConversion"/>
  </si>
  <si>
    <t>7.我觉得做每件事都费力    20我提不起劲儿来做事</t>
    <phoneticPr fontId="9" type="noConversion"/>
  </si>
  <si>
    <t>DSRSC</t>
    <phoneticPr fontId="5" type="noConversion"/>
  </si>
  <si>
    <t>*1盼望美好事物</t>
    <phoneticPr fontId="10" type="noConversion"/>
  </si>
  <si>
    <t>3总是想哭</t>
    <phoneticPr fontId="5" type="noConversion"/>
  </si>
  <si>
    <t>4喜欢出去玩</t>
    <phoneticPr fontId="10" type="noConversion"/>
  </si>
  <si>
    <t>5想离家出走</t>
    <phoneticPr fontId="5" type="noConversion"/>
  </si>
  <si>
    <t>6肚子痛</t>
    <phoneticPr fontId="5" type="noConversion"/>
  </si>
  <si>
    <t>*7精力充沛</t>
    <phoneticPr fontId="10" type="noConversion"/>
  </si>
  <si>
    <t>*8吃东西香</t>
    <phoneticPr fontId="10" type="noConversion"/>
  </si>
  <si>
    <t>*9对自己有信心</t>
    <phoneticPr fontId="10" type="noConversion"/>
  </si>
  <si>
    <t>*11做事令人满意</t>
    <phoneticPr fontId="10" type="noConversion"/>
  </si>
  <si>
    <t>*13爱与家人交谈</t>
    <phoneticPr fontId="10" type="noConversion"/>
  </si>
  <si>
    <t>2睡得很香 14作噩梦</t>
    <phoneticPr fontId="9" type="noConversion"/>
  </si>
  <si>
    <t>*16容易高兴起来</t>
    <phoneticPr fontId="10" type="noConversion"/>
  </si>
  <si>
    <t>17感到悲哀</t>
    <phoneticPr fontId="5" type="noConversion"/>
  </si>
  <si>
    <t>18感到烦恼</t>
    <phoneticPr fontId="5" type="noConversion"/>
  </si>
  <si>
    <t>躯体性焦虑是焦虑的生理表现</t>
    <phoneticPr fontId="5" type="noConversion"/>
  </si>
  <si>
    <t>贝克抑郁量表第1版（BDI-I）</t>
    <phoneticPr fontId="5" type="noConversion"/>
  </si>
  <si>
    <t>0我不感到忧愁
1.我感到忧愁
2.我整天都感到忧愁，且不能改变这种情绪
3，我非常忧伤或不愉快，以致我不能忍受</t>
    <phoneticPr fontId="5" type="noConversion"/>
  </si>
  <si>
    <t>0.对于将来我不感到悲观
1.我对将来感到悲观
2.我感到没有什么可指望的
3.我感到将来无望，事事都不能变好
0.我不象一个失败者
1.我觉得我比一般人失败的次数多些
2.当我回首过去我看到的是许多失败
3，我感到我是一个彻底失败了的人</t>
    <phoneticPr fontId="5" type="noConversion"/>
  </si>
  <si>
    <t>0.我对事物象往常一样满意
1，我对事物不象往常一样满意
2.我不再对任何事物感到真正的满意
3.我对每件事都不满意或讨厌</t>
    <phoneticPr fontId="5" type="noConversion"/>
  </si>
  <si>
    <t>0.我没有感到正在受惩罚
1.我感到我可能受惩罚
2.我预感会受惩罚
3.我感到我正在受惩罚</t>
    <phoneticPr fontId="5" type="noConversion"/>
  </si>
  <si>
    <t>0.我感到我并不使人失望
1.我对自己失望
2.我讨厌自己
3.我痛恨自己</t>
    <phoneticPr fontId="5" type="noConversion"/>
  </si>
  <si>
    <t>0.我没有任何自杀的想法
1.我有自杀的的念头但不会真去自杀
2.我很想自杀
3，如果我有机会我就会自杀</t>
    <phoneticPr fontId="5" type="noConversion"/>
  </si>
  <si>
    <t>0.我并不比以往爱哭
1.我现在比以前爱哭
2.现在我经常哭
3·我以往能哭，但现在即使我想哭也哭不出来</t>
    <phoneticPr fontId="5" type="noConversion"/>
  </si>
  <si>
    <t>0.我并不比以往容易激惹
1.我比以往容易激惹或容易生气
2.我现在经常容易发火
3，以往能激惹我的那些事情现在则完全不能激惹我了</t>
    <phoneticPr fontId="5" type="noConversion"/>
  </si>
  <si>
    <t>0.我对他人的兴趣没有减少
1.我对他人的兴趣比以往减少了
2.我对他人丧失了大部分兴趣
我
 3.我对他人现在毫无兴趣</t>
    <phoneticPr fontId="5" type="noConversion"/>
  </si>
  <si>
    <t>0.我与以往一样能作决定
1.我现在作决定没有以前果断
2.我现在作决定比以前困难得多
3.我现在完全不能作决定</t>
    <phoneticPr fontId="5" type="noConversion"/>
  </si>
  <si>
    <t>0.我觉得自己看上去和以前差不多
1.我担心我看上老了或没有以前好看了
2.我觉得我的外貌变得不好看了，而且是永久性的改变
3.我认为我看上去很丑了</t>
    <phoneticPr fontId="5" type="noConversion"/>
  </si>
  <si>
    <t>0.我能象以往一样工作：
1.我要经一番特别努力才能开始做事
2.我做任何事都必须作很大的努力，强迫自己去做
3.我完全不能工作</t>
    <phoneticPr fontId="5" type="noConversion"/>
  </si>
  <si>
    <t>0.我睡眠象以往一样好
1.我睡眠没有以往那样好
2.我比往常早醒1~2小时，再入睡有困难
3.我比往常早醒几个小时，且不能再入睡</t>
    <phoneticPr fontId="5" type="noConversion"/>
  </si>
  <si>
    <t>0.我现在并不比以往感到容易疲劳
1.我现在比以往容易疲劳
2.我做任何事都容易疲劳
3.我太疲劳了以致我不能做任何事情</t>
    <phoneticPr fontId="5" type="noConversion"/>
  </si>
  <si>
    <t>0.我的食欲与以前一样好。
1.我现在食欲没有往常那样好
2.我的食欲现在差多了
3.我完全没有食欲了</t>
    <phoneticPr fontId="5" type="noConversion"/>
  </si>
  <si>
    <t>0.我最近没有明显的体重减轻
1.我体重下降超过 5 斤
2.我体重下降超过 10斤
3.我体重下降超过15斤，我在控制饮食来减轻体重（是）（否）</t>
    <phoneticPr fontId="5" type="noConversion"/>
  </si>
  <si>
    <t>0.与以往比我并不过分担心身体健康
1.我担心我身体的毛病如疼痛、反胃及便秘
2.我很着急身体的毛病而妨碍我思考其他问题重
3.我非常着急身体疾病，以致不能思考任何其它事情</t>
    <phoneticPr fontId="5" type="noConversion"/>
  </si>
  <si>
    <t>0.我的性欲最近没有什么变化
1.我的性欲比以往差些
2.现在我的性欲比以往减退了许多
3.我完全丧失了性欲</t>
    <phoneticPr fontId="5" type="noConversion"/>
  </si>
  <si>
    <t>患者健康问卷(PHQ-9)</t>
    <phoneticPr fontId="5" type="noConversion"/>
  </si>
  <si>
    <t>1.做什么事都感到没有兴趣或乐趣</t>
  </si>
  <si>
    <t>2.感到心情低落</t>
  </si>
  <si>
    <t>3.入睡困难、很难熟睡或睡太多</t>
  </si>
  <si>
    <t>4.感到疲劳或无精打采</t>
  </si>
  <si>
    <t>5.胃口不好或吃太多</t>
    <phoneticPr fontId="5" type="noConversion"/>
  </si>
  <si>
    <t>6·觉得自己很糟，或很失败，或让自己或家人失望</t>
    <phoneticPr fontId="5" type="noConversion"/>
  </si>
  <si>
    <t>7.注意很难集中，例如阅读报纸或看电视</t>
  </si>
  <si>
    <t>8，动作或说话速度缓慢到别人可察觉的程度，或正好相反——您烦躁或坐立不安，动来动去的情况比平常更严重</t>
    <phoneticPr fontId="5" type="noConversion"/>
  </si>
  <si>
    <t>抑郁-焦虑-压力量表简体中文版(DASS-21)</t>
    <phoneticPr fontId="5" type="noConversion"/>
  </si>
  <si>
    <t>D3快感缺失</t>
    <phoneticPr fontId="5" type="noConversion"/>
  </si>
  <si>
    <t>D5动机缺失</t>
  </si>
  <si>
    <t>D10无望</t>
  </si>
  <si>
    <t>D13忧郁沮丧</t>
  </si>
  <si>
    <t>D16兴趣丧失</t>
  </si>
  <si>
    <t>D17自我贬低</t>
  </si>
  <si>
    <t>D21无意义感</t>
  </si>
  <si>
    <t>(CBCL)男生</t>
    <phoneticPr fontId="5" type="noConversion"/>
  </si>
  <si>
    <t>(CBCL)女生</t>
    <phoneticPr fontId="5" type="noConversion"/>
  </si>
  <si>
    <t>12常说感到寂寞</t>
    <phoneticPr fontId="5" type="noConversion"/>
  </si>
  <si>
    <t>14常常哭叫</t>
    <phoneticPr fontId="5" type="noConversion"/>
  </si>
  <si>
    <t>31怕自己想坏念头或做坏事</t>
    <phoneticPr fontId="5" type="noConversion"/>
  </si>
  <si>
    <t>怕自己想坏念头或做坏事</t>
    <phoneticPr fontId="5" type="noConversion"/>
  </si>
  <si>
    <t>32.觉得自己必须十全十美</t>
    <phoneticPr fontId="5" type="noConversion"/>
  </si>
  <si>
    <t>33.觉得或抱怨没有人喜欢自己</t>
    <phoneticPr fontId="5" type="noConversion"/>
  </si>
  <si>
    <t>35觉得自己无用或有自卑感</t>
    <phoneticPr fontId="5" type="noConversion"/>
  </si>
  <si>
    <t>45·神经过敏，容易激动或紧张</t>
    <phoneticPr fontId="5" type="noConversion"/>
  </si>
  <si>
    <t>50.过度恐惧或担心</t>
    <phoneticPr fontId="5" type="noConversion"/>
  </si>
  <si>
    <t>52.过份内疚</t>
  </si>
  <si>
    <t>71.感到不自然或容易发窘</t>
    <phoneticPr fontId="5" type="noConversion"/>
  </si>
  <si>
    <t>88.常常生气</t>
    <phoneticPr fontId="5" type="noConversion"/>
  </si>
  <si>
    <t>89多疑</t>
    <phoneticPr fontId="5" type="noConversion"/>
  </si>
  <si>
    <t>103.闷闷不乐，悲伤或抑郁</t>
    <phoneticPr fontId="5" type="noConversion"/>
  </si>
  <si>
    <t>112.忧虑重重.</t>
    <phoneticPr fontId="5" type="noConversion"/>
  </si>
  <si>
    <t>11.喜欢缠着大人或过份依赖</t>
    <phoneticPr fontId="5" type="noConversion"/>
  </si>
  <si>
    <t>喜欢缠着大人或过份依赖</t>
  </si>
  <si>
    <t>30.怕上学</t>
    <phoneticPr fontId="5" type="noConversion"/>
  </si>
  <si>
    <t>34.觉得别人存心捉弄自己</t>
  </si>
  <si>
    <t>38.常被人戏弄</t>
  </si>
  <si>
    <t>45·神经过敏，容易激动或紧张</t>
  </si>
  <si>
    <t>50.过度恐惧或担心</t>
  </si>
  <si>
    <t>71.感到不自然或容易发窘</t>
  </si>
  <si>
    <t>75.害羞或胆小</t>
  </si>
  <si>
    <t>88.常常生气..</t>
  </si>
  <si>
    <t>12常说感到寂寞 111.孤独、不合群</t>
    <phoneticPr fontId="5" type="noConversion"/>
  </si>
  <si>
    <t>流调中心抑郁量表儿童版（CES-D-C）</t>
    <phoneticPr fontId="5" type="noConversion"/>
  </si>
  <si>
    <t>Bothered by things</t>
    <phoneticPr fontId="10" type="noConversion"/>
  </si>
  <si>
    <t>Not feel like eating</t>
    <phoneticPr fontId="10" type="noConversion"/>
  </si>
  <si>
    <t>Couldn't pay attention</t>
    <phoneticPr fontId="10" type="noConversion"/>
  </si>
  <si>
    <t>Too tired to do things</t>
    <phoneticPr fontId="10" type="noConversion"/>
  </si>
  <si>
    <t>Not sleep well</t>
    <phoneticPr fontId="10" type="noConversion"/>
  </si>
  <si>
    <t>More quite than usual</t>
    <phoneticPr fontId="10" type="noConversion"/>
  </si>
  <si>
    <t>Hard to get started</t>
    <phoneticPr fontId="10" type="noConversion"/>
  </si>
  <si>
    <t>Felt scared</t>
    <phoneticPr fontId="10" type="noConversion"/>
  </si>
  <si>
    <t>Felt lonely</t>
    <phoneticPr fontId="10" type="noConversion"/>
  </si>
  <si>
    <t>Felt like crying</t>
    <phoneticPr fontId="10" type="noConversion"/>
  </si>
  <si>
    <t>Felt sad</t>
    <phoneticPr fontId="10" type="noConversion"/>
  </si>
  <si>
    <t>Good as other kids(R)</t>
    <phoneticPr fontId="10" type="noConversion"/>
  </si>
  <si>
    <t>Kids not friendly</t>
    <phoneticPr fontId="10" type="noConversion"/>
  </si>
  <si>
    <t>Felt people disliked me</t>
    <phoneticPr fontId="10" type="noConversion"/>
  </si>
  <si>
    <t>青少年抑郁量表（ADI）</t>
    <phoneticPr fontId="5" type="noConversion"/>
  </si>
  <si>
    <t>1我現在變得比以前容易失去耐心。</t>
  </si>
  <si>
    <t>缺乏耐心</t>
    <phoneticPr fontId="5" type="noConversion"/>
  </si>
  <si>
    <t>2我覺得緊張煩躁。</t>
  </si>
  <si>
    <t>5我的成績明顯地退步許多。</t>
  </si>
  <si>
    <t>6我覺得現在比以前更難過。</t>
  </si>
  <si>
    <t>7我覺得沒有人了解我。</t>
  </si>
  <si>
    <t>10我想離開目前的生活環境。</t>
  </si>
  <si>
    <t>11我的心情時好時壞。</t>
  </si>
  <si>
    <t>心情时好时坏</t>
    <phoneticPr fontId="10" type="noConversion"/>
  </si>
  <si>
    <t>12我很容易生氣。</t>
  </si>
  <si>
    <t>13我動不動就想哭。</t>
  </si>
  <si>
    <t>14我非常在乎別人的反應。</t>
  </si>
  <si>
    <t>15我覺得自己很差勁。</t>
  </si>
  <si>
    <t>17我想要自殺。</t>
  </si>
  <si>
    <t>18我對自己很失望。</t>
  </si>
  <si>
    <t>19我擔心別人不喜歡我。</t>
    <phoneticPr fontId="5" type="noConversion"/>
  </si>
  <si>
    <t>20我覺得心情很不好。</t>
  </si>
  <si>
    <t>21我變得不喜歡參與學校活動。</t>
  </si>
  <si>
    <t>22我變得對許多事都不感興趣。</t>
  </si>
  <si>
    <t>23我變得不喜歡接受別人的意見。</t>
  </si>
  <si>
    <t>24我覺得現在的日子過得比以前無聊。</t>
  </si>
  <si>
    <t>25我很不想上學。</t>
  </si>
  <si>
    <t>26我不想和朋友說話或出去玩。</t>
  </si>
  <si>
    <t>27我覺得沒有胃口。</t>
  </si>
  <si>
    <t>28我整天懶洋洋無精打采。</t>
  </si>
  <si>
    <t>29我覺得身體不舒服。</t>
  </si>
  <si>
    <t>30我的思考與動作變得比較緩慢。</t>
  </si>
  <si>
    <t>31沒有什麼事能讓我覺得快樂。</t>
  </si>
  <si>
    <t xml:space="preserve"> 7 Thoughts of ending your life (D)</t>
    <phoneticPr fontId="5" type="noConversion"/>
  </si>
  <si>
    <t xml:space="preserve"> 12 Blaming yourself for things (D)</t>
    <phoneticPr fontId="5" type="noConversion"/>
  </si>
  <si>
    <t xml:space="preserve"> 14 Feeling lonely (D)</t>
    <phoneticPr fontId="5" type="noConversion"/>
  </si>
  <si>
    <t>15 Feeling blue (D)</t>
    <phoneticPr fontId="5" type="noConversion"/>
  </si>
  <si>
    <t>16. Feeling no interest in things (D)</t>
  </si>
  <si>
    <t>28. Feeling hopeless about the future (D)</t>
  </si>
  <si>
    <t>44. Feeling of worthlessness (D)</t>
  </si>
  <si>
    <t>简 版 流 调 中 心 抑 郁 量 表CES-D-13</t>
    <phoneticPr fontId="5" type="noConversion"/>
  </si>
  <si>
    <r>
      <t>1</t>
    </r>
    <r>
      <rPr>
        <sz val="10.5"/>
        <color theme="1"/>
        <rFont val="宋体"/>
        <family val="3"/>
        <charset val="134"/>
      </rPr>
      <t>我最近烦一些原来不烦心的事</t>
    </r>
    <r>
      <rPr>
        <sz val="10.5"/>
        <color theme="1"/>
        <rFont val="宋体"/>
        <family val="1"/>
        <charset val="134"/>
      </rPr>
      <t>（烦心）</t>
    </r>
    <phoneticPr fontId="10" type="noConversion"/>
  </si>
  <si>
    <r>
      <t>2</t>
    </r>
    <r>
      <rPr>
        <sz val="10.5"/>
        <color theme="1"/>
        <rFont val="宋体"/>
        <family val="3"/>
        <charset val="134"/>
      </rPr>
      <t>我觉得沮丧，就算有亲友帮助也不管用</t>
    </r>
    <r>
      <rPr>
        <sz val="10.5"/>
        <color theme="1"/>
        <rFont val="宋体"/>
        <family val="1"/>
        <charset val="134"/>
      </rPr>
      <t>（觉得沮丧）</t>
    </r>
    <r>
      <rPr>
        <sz val="10.5"/>
        <color theme="1"/>
        <rFont val="Times New Roman"/>
        <family val="1"/>
      </rPr>
      <t xml:space="preserve"> 4</t>
    </r>
    <r>
      <rPr>
        <sz val="10.5"/>
        <color theme="1"/>
        <rFont val="等线"/>
        <family val="1"/>
        <charset val="134"/>
      </rPr>
      <t>我感到消沉（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到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沉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）</t>
    </r>
    <phoneticPr fontId="10" type="noConversion"/>
  </si>
  <si>
    <r>
      <t>6</t>
    </r>
    <r>
      <rPr>
        <sz val="10.5"/>
        <color theme="1"/>
        <rFont val="宋体"/>
        <family val="3"/>
        <charset val="134"/>
      </rPr>
      <t>我感到未来有希望</t>
    </r>
    <r>
      <rPr>
        <sz val="10.5"/>
        <color theme="1"/>
        <rFont val="Times New Roman"/>
        <family val="1"/>
      </rPr>
      <t>®</t>
    </r>
    <r>
      <rPr>
        <sz val="10.5"/>
        <color theme="1"/>
        <rFont val="宋体"/>
        <family val="1"/>
        <charset val="134"/>
      </rPr>
      <t>（未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有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望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phoneticPr fontId="10" type="noConversion"/>
  </si>
  <si>
    <r>
      <t>7</t>
    </r>
    <r>
      <rPr>
        <sz val="10.5"/>
        <color theme="1"/>
        <rFont val="宋体"/>
        <family val="3"/>
        <charset val="134"/>
      </rPr>
      <t>我感到害怕</t>
    </r>
    <r>
      <rPr>
        <sz val="10.5"/>
        <color theme="1"/>
        <rFont val="宋体"/>
        <family val="1"/>
        <charset val="134"/>
      </rPr>
      <t>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到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害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怕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phoneticPr fontId="10" type="noConversion"/>
  </si>
  <si>
    <r>
      <t>8</t>
    </r>
    <r>
      <rPr>
        <sz val="10.5"/>
        <color theme="1"/>
        <rFont val="宋体"/>
        <family val="3"/>
        <charset val="134"/>
      </rPr>
      <t>我睡不安稳（睡</t>
    </r>
    <r>
      <rPr>
        <sz val="10.5"/>
        <color theme="1"/>
        <rFont val="Times New Roman"/>
        <family val="3"/>
      </rPr>
      <t xml:space="preserve"> </t>
    </r>
    <r>
      <rPr>
        <sz val="10.5"/>
        <color theme="1"/>
        <rFont val="宋体"/>
        <family val="3"/>
        <charset val="134"/>
      </rPr>
      <t>不</t>
    </r>
    <r>
      <rPr>
        <sz val="10.5"/>
        <color theme="1"/>
        <rFont val="Times New Roman"/>
        <family val="3"/>
      </rPr>
      <t xml:space="preserve"> </t>
    </r>
    <r>
      <rPr>
        <sz val="10.5"/>
        <color theme="1"/>
        <rFont val="宋体"/>
        <family val="3"/>
        <charset val="134"/>
      </rPr>
      <t>安</t>
    </r>
    <r>
      <rPr>
        <sz val="10.5"/>
        <color theme="1"/>
        <rFont val="Times New Roman"/>
        <family val="3"/>
      </rPr>
      <t xml:space="preserve"> </t>
    </r>
    <r>
      <rPr>
        <sz val="10.5"/>
        <color theme="1"/>
        <rFont val="宋体"/>
        <family val="3"/>
        <charset val="134"/>
      </rPr>
      <t>稳</t>
    </r>
    <r>
      <rPr>
        <sz val="10.5"/>
        <color theme="1"/>
        <rFont val="Times New Roman"/>
        <family val="3"/>
      </rPr>
      <t xml:space="preserve"> </t>
    </r>
    <r>
      <rPr>
        <sz val="10.5"/>
        <color theme="1"/>
        <rFont val="宋体"/>
        <family val="3"/>
        <charset val="134"/>
      </rPr>
      <t>）</t>
    </r>
    <phoneticPr fontId="10" type="noConversion"/>
  </si>
  <si>
    <r>
      <t>10</t>
    </r>
    <r>
      <rPr>
        <sz val="10.5"/>
        <color theme="1"/>
        <rFont val="宋体"/>
        <family val="3"/>
        <charset val="134"/>
      </rPr>
      <t>我觉得孤独</t>
    </r>
    <r>
      <rPr>
        <sz val="10.5"/>
        <color theme="1"/>
        <rFont val="宋体"/>
        <family val="1"/>
        <charset val="134"/>
      </rPr>
      <t>（觉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得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孤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独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phoneticPr fontId="10" type="noConversion"/>
  </si>
  <si>
    <r>
      <t>9</t>
    </r>
    <r>
      <rPr>
        <sz val="10.5"/>
        <color theme="1"/>
        <rFont val="宋体"/>
        <family val="3"/>
        <charset val="134"/>
      </rPr>
      <t>我感到快乐</t>
    </r>
    <r>
      <rPr>
        <sz val="10.5"/>
        <color theme="1"/>
        <rFont val="Times New Roman"/>
        <family val="1"/>
      </rPr>
      <t>®</t>
    </r>
    <r>
      <rPr>
        <sz val="10.5"/>
        <color theme="1"/>
        <rFont val="宋体"/>
        <family val="1"/>
        <charset val="134"/>
      </rPr>
      <t>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到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快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等线"/>
        <family val="1"/>
        <charset val="134"/>
      </rPr>
      <t>我生活愉快</t>
    </r>
    <r>
      <rPr>
        <sz val="10.5"/>
        <color theme="1"/>
        <rFont val="Times New Roman"/>
        <family val="1"/>
      </rPr>
      <t>®</t>
    </r>
    <r>
      <rPr>
        <sz val="10.5"/>
        <color theme="1"/>
        <rFont val="等线"/>
        <family val="1"/>
        <charset val="134"/>
      </rPr>
      <t>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活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愉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快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）</t>
    </r>
    <phoneticPr fontId="10" type="noConversion"/>
  </si>
  <si>
    <t>12我感到悲伤难过（悲 伤 难 过 ）</t>
    <phoneticPr fontId="10" type="noConversion"/>
  </si>
  <si>
    <r>
      <t>3</t>
    </r>
    <r>
      <rPr>
        <sz val="10.5"/>
        <color theme="1"/>
        <rFont val="宋体"/>
        <family val="3"/>
        <charset val="134"/>
      </rPr>
      <t>我不能集中精力做事</t>
    </r>
    <r>
      <rPr>
        <sz val="10.5"/>
        <color theme="1"/>
        <rFont val="宋体"/>
        <family val="1"/>
        <charset val="134"/>
      </rPr>
      <t>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不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能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集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中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精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力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r>
      <rPr>
        <sz val="10.5"/>
        <color theme="1"/>
        <rFont val="Times New Roman"/>
        <family val="1"/>
      </rPr>
      <t xml:space="preserve"> </t>
    </r>
    <phoneticPr fontId="10" type="noConversion"/>
  </si>
  <si>
    <r>
      <t>5</t>
    </r>
    <r>
      <rPr>
        <sz val="10.5"/>
        <color theme="1"/>
        <rFont val="宋体"/>
        <family val="3"/>
        <charset val="134"/>
      </rPr>
      <t>我觉得做每件事都费力</t>
    </r>
    <r>
      <rPr>
        <sz val="10.5"/>
        <color theme="1"/>
        <rFont val="宋体"/>
        <family val="1"/>
        <charset val="134"/>
      </rPr>
      <t>（做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事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费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力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）</t>
    </r>
    <r>
      <rPr>
        <sz val="10.5"/>
        <color theme="1"/>
        <rFont val="Times New Roman"/>
        <family val="1"/>
      </rPr>
      <t xml:space="preserve">
13</t>
    </r>
    <r>
      <rPr>
        <sz val="10.5"/>
        <color theme="1"/>
        <rFont val="等线"/>
        <family val="1"/>
        <charset val="134"/>
      </rPr>
      <t>我提不起劲儿来做事（提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不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起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等线"/>
        <family val="1"/>
        <charset val="134"/>
      </rPr>
      <t>）</t>
    </r>
    <phoneticPr fontId="10" type="noConversion"/>
  </si>
  <si>
    <t>HAMD</t>
    <phoneticPr fontId="5" type="noConversion"/>
  </si>
  <si>
    <t>1 抑郁情绪 （depressed mood）</t>
    <phoneticPr fontId="5" type="noConversion"/>
  </si>
  <si>
    <t>2 有罪感（feelings of guilt）</t>
    <phoneticPr fontId="5" type="noConversion"/>
  </si>
  <si>
    <t>3 自杀（suicide）</t>
    <phoneticPr fontId="5" type="noConversion"/>
  </si>
  <si>
    <t>4 入睡困难：初段失眠。（insomnia--early）</t>
    <phoneticPr fontId="5" type="noConversion"/>
  </si>
  <si>
    <t>5 睡眠不深：中段失眠。（insomnia--middle）</t>
    <phoneticPr fontId="5" type="noConversion"/>
  </si>
  <si>
    <t>6 早醒：末段睡眠。（insomnia—late）</t>
    <phoneticPr fontId="5" type="noConversion"/>
  </si>
  <si>
    <t>7 工作和兴趣（work&amp;interests）</t>
    <phoneticPr fontId="5" type="noConversion"/>
  </si>
  <si>
    <t>8 阻滞：指思想和言语缓慢，注意力难以集中，主动性减退。（retardation）</t>
    <phoneticPr fontId="5" type="noConversion"/>
  </si>
  <si>
    <t>9 激越（agitation）</t>
    <phoneticPr fontId="5" type="noConversion"/>
  </si>
  <si>
    <t>10 精神性焦虑（psychic anxiety）</t>
    <phoneticPr fontId="5" type="noConversion"/>
  </si>
  <si>
    <t>11 躯体性焦虑（somatic anxiety）</t>
    <phoneticPr fontId="5" type="noConversion"/>
  </si>
  <si>
    <t>12 胃肠道症状（gastro-intestinal）</t>
    <phoneticPr fontId="5" type="noConversion"/>
  </si>
  <si>
    <t>13 全身症状（general somatic symptoms）</t>
    <phoneticPr fontId="5" type="noConversion"/>
  </si>
  <si>
    <t>14 性症状：性欲减退、月经紊乱等（genital symptoms）</t>
    <phoneticPr fontId="5" type="noConversion"/>
  </si>
  <si>
    <t>15 疑病（hypochondriasis）</t>
    <phoneticPr fontId="5" type="noConversion"/>
  </si>
  <si>
    <t>16 体重减轻（loss of weight）</t>
    <phoneticPr fontId="5" type="noConversion"/>
  </si>
  <si>
    <t>17 内省力（insight）</t>
    <phoneticPr fontId="5" type="noConversion"/>
  </si>
  <si>
    <t>内省力</t>
  </si>
  <si>
    <r>
      <t xml:space="preserve">18 </t>
    </r>
    <r>
      <rPr>
        <sz val="11"/>
        <color rgb="FF333333"/>
        <rFont val="等线"/>
        <family val="2"/>
      </rPr>
      <t>日夜变化</t>
    </r>
    <r>
      <rPr>
        <sz val="11"/>
        <color rgb="FF333333"/>
        <rFont val="宋体"/>
        <family val="3"/>
        <charset val="134"/>
      </rPr>
      <t>（diurnal variation）</t>
    </r>
    <phoneticPr fontId="5" type="noConversion"/>
  </si>
  <si>
    <r>
      <t xml:space="preserve">19 </t>
    </r>
    <r>
      <rPr>
        <sz val="11"/>
        <color rgb="FF333333"/>
        <rFont val="等线"/>
        <family val="2"/>
      </rPr>
      <t>人格解体或现实解体（指非真实感或虚无妄想）</t>
    </r>
    <r>
      <rPr>
        <sz val="11"/>
        <color rgb="FF333333"/>
        <rFont val="宋体"/>
        <family val="3"/>
        <charset val="134"/>
      </rPr>
      <t>（depersonalization&amp;derealization）</t>
    </r>
    <phoneticPr fontId="5" type="noConversion"/>
  </si>
  <si>
    <r>
      <t xml:space="preserve">20 </t>
    </r>
    <r>
      <rPr>
        <sz val="11"/>
        <color rgb="FF333333"/>
        <rFont val="等线"/>
        <family val="2"/>
      </rPr>
      <t>偏执症状</t>
    </r>
    <r>
      <rPr>
        <sz val="11"/>
        <color rgb="FF333333"/>
        <rFont val="宋体"/>
        <family val="3"/>
        <charset val="134"/>
      </rPr>
      <t>（paranoid symptoms）</t>
    </r>
    <phoneticPr fontId="5" type="noConversion"/>
  </si>
  <si>
    <r>
      <t xml:space="preserve">21 </t>
    </r>
    <r>
      <rPr>
        <sz val="11"/>
        <color rgb="FF333333"/>
        <rFont val="等线"/>
        <family val="2"/>
      </rPr>
      <t>强迫症状（指强迫思想和强迫行为）</t>
    </r>
    <r>
      <rPr>
        <sz val="11"/>
        <color rgb="FF333333"/>
        <rFont val="宋体"/>
        <family val="3"/>
        <charset val="134"/>
      </rPr>
      <t>（obsessional sympto-
ms）</t>
    </r>
    <phoneticPr fontId="5" type="noConversion"/>
  </si>
  <si>
    <r>
      <t xml:space="preserve">22 </t>
    </r>
    <r>
      <rPr>
        <sz val="11"/>
        <color rgb="FF333333"/>
        <rFont val="等线"/>
        <family val="2"/>
      </rPr>
      <t>能力减退感</t>
    </r>
    <r>
      <rPr>
        <sz val="11"/>
        <color rgb="FF333333"/>
        <rFont val="宋体"/>
        <family val="3"/>
        <charset val="134"/>
      </rPr>
      <t>（helplessness）</t>
    </r>
    <phoneticPr fontId="5" type="noConversion"/>
  </si>
  <si>
    <r>
      <t xml:space="preserve">23 </t>
    </r>
    <r>
      <rPr>
        <sz val="11"/>
        <color rgb="FF333333"/>
        <rFont val="等线"/>
        <family val="2"/>
      </rPr>
      <t>绝望感</t>
    </r>
    <r>
      <rPr>
        <sz val="11"/>
        <color rgb="FF333333"/>
        <rFont val="宋体"/>
        <family val="3"/>
        <charset val="134"/>
      </rPr>
      <t>（hopelessness）</t>
    </r>
    <phoneticPr fontId="5" type="noConversion"/>
  </si>
  <si>
    <r>
      <t xml:space="preserve">24 </t>
    </r>
    <r>
      <rPr>
        <sz val="11"/>
        <color rgb="FF333333"/>
        <rFont val="等线"/>
        <family val="2"/>
      </rPr>
      <t>自卑感</t>
    </r>
    <r>
      <rPr>
        <sz val="11"/>
        <color rgb="FF333333"/>
        <rFont val="宋体"/>
        <family val="3"/>
        <charset val="134"/>
      </rPr>
      <t>（loss of weight）</t>
    </r>
    <phoneticPr fontId="5" type="noConversion"/>
  </si>
  <si>
    <t>UPI</t>
    <phoneticPr fontId="5" type="noConversion"/>
  </si>
  <si>
    <t>郑日昌编制的中国大学生心理健康量表（CCSMHS）</t>
    <phoneticPr fontId="5" type="noConversion"/>
  </si>
  <si>
    <t>poor appetite</t>
  </si>
  <si>
    <t>feeling pessimistic</t>
  </si>
  <si>
    <t xml:space="preserve">distracted </t>
  </si>
  <si>
    <t>restless</t>
  </si>
  <si>
    <t>having suicidal thoughts</t>
  </si>
  <si>
    <t xml:space="preserve">no interest in anything </t>
    <phoneticPr fontId="5" type="noConversion"/>
  </si>
  <si>
    <t xml:space="preserve">a lack of judgment </t>
    <phoneticPr fontId="5" type="noConversion"/>
  </si>
  <si>
    <t>缺乏判断力</t>
    <phoneticPr fontId="10" type="noConversion"/>
  </si>
  <si>
    <t xml:space="preserve"> good mood</t>
  </si>
  <si>
    <t xml:space="preserve"> physically exhausted</t>
  </si>
  <si>
    <t xml:space="preserve"> hesitant </t>
  </si>
  <si>
    <t>41.感到任何事情都很困难</t>
    <phoneticPr fontId="5" type="noConversion"/>
  </si>
  <si>
    <t>44.对学习没有兴趣</t>
    <phoneticPr fontId="5" type="noConversion"/>
  </si>
  <si>
    <t xml:space="preserve">48.感到生活空虚、无趣
</t>
    <phoneticPr fontId="5" type="noConversion"/>
  </si>
  <si>
    <t>49.想占便宜</t>
    <phoneticPr fontId="5" type="noConversion"/>
  </si>
  <si>
    <t>想占便宜</t>
    <phoneticPr fontId="5" type="noConversion"/>
  </si>
  <si>
    <t>71·沮丧、郁闷</t>
    <phoneticPr fontId="5" type="noConversion"/>
  </si>
  <si>
    <t xml:space="preserve">98.感到前途没有希望
</t>
    <phoneticPr fontId="5" type="noConversion"/>
  </si>
  <si>
    <t>100.感到压抑</t>
  </si>
  <si>
    <t>59.没有人真心关心我</t>
    <phoneticPr fontId="5" type="noConversion"/>
  </si>
  <si>
    <t>交感神经兴奋（心悸、震颤）</t>
    <phoneticPr fontId="9" type="noConversion"/>
  </si>
  <si>
    <t>昼夜情绪变化</t>
    <phoneticPr fontId="5" type="noConversion"/>
  </si>
  <si>
    <t>能量丧失/精力不足/能量增加</t>
    <phoneticPr fontId="5" type="noConversion"/>
  </si>
  <si>
    <t>食欲增加</t>
    <phoneticPr fontId="5" type="noConversion"/>
  </si>
  <si>
    <t>食欲降低</t>
    <phoneticPr fontId="5" type="noConversion"/>
  </si>
  <si>
    <t>嗜睡</t>
    <phoneticPr fontId="5" type="noConversion"/>
  </si>
  <si>
    <t>不良行为</t>
    <phoneticPr fontId="9" type="noConversion"/>
  </si>
  <si>
    <t>注意力</t>
    <phoneticPr fontId="5" type="noConversion"/>
  </si>
  <si>
    <t>哭</t>
    <phoneticPr fontId="5" type="noConversion"/>
  </si>
  <si>
    <t>精神性焦虑</t>
    <phoneticPr fontId="5" type="noConversion"/>
  </si>
  <si>
    <t>激越</t>
    <phoneticPr fontId="5" type="noConversion"/>
  </si>
  <si>
    <t>躯体性焦虑</t>
    <phoneticPr fontId="9" type="noConversion"/>
  </si>
  <si>
    <t>快感缺失</t>
    <phoneticPr fontId="5" type="noConversion"/>
  </si>
  <si>
    <t>自卑/自信#</t>
    <phoneticPr fontId="5" type="noConversion"/>
  </si>
  <si>
    <t>社交减少#</t>
    <phoneticPr fontId="5" type="noConversion"/>
  </si>
  <si>
    <t>CCSMHS</t>
    <phoneticPr fontId="5" type="noConversion"/>
  </si>
  <si>
    <t>抑郁情绪#</t>
    <phoneticPr fontId="5" type="noConversion"/>
  </si>
  <si>
    <t>易怒#</t>
    <phoneticPr fontId="9" type="noConversion"/>
  </si>
  <si>
    <t>躯体症状#</t>
    <phoneticPr fontId="9" type="noConversion"/>
  </si>
  <si>
    <t>食欲变化#</t>
    <phoneticPr fontId="5" type="noConversion"/>
  </si>
  <si>
    <t>睡眠障碍#</t>
    <phoneticPr fontId="5" type="noConversion"/>
  </si>
  <si>
    <t>37 &amp; 38</t>
    <phoneticPr fontId="9" type="noConversion"/>
  </si>
  <si>
    <t>Idiosyncratic items (%)</t>
    <phoneticPr fontId="5" type="noConversion"/>
  </si>
  <si>
    <t>兴趣/乐趣丧失#</t>
    <phoneticPr fontId="9" type="noConversion"/>
  </si>
  <si>
    <t>#兴趣/乐趣丧失</t>
    <phoneticPr fontId="9" type="noConversion"/>
  </si>
  <si>
    <t>兴趣丧失</t>
    <phoneticPr fontId="9" type="noConversion"/>
  </si>
  <si>
    <t>乐趣丧失</t>
    <phoneticPr fontId="9" type="noConversion"/>
  </si>
  <si>
    <t>无望感</t>
    <phoneticPr fontId="5" type="noConversion"/>
  </si>
  <si>
    <t>躯体不适感（疼痛、头痛、四肢沉重）</t>
    <phoneticPr fontId="9" type="noConversion"/>
  </si>
  <si>
    <t>Q15“将来不会有好事”</t>
    <phoneticPr fontId="5" type="noConversion"/>
  </si>
  <si>
    <t>7感到不安 Q22“坏事将会发生”</t>
    <phoneticPr fontId="10" type="noConversion"/>
  </si>
  <si>
    <t>3“无论我怎么做，未來都是沒有希望的</t>
    <phoneticPr fontId="5" type="noConversion"/>
  </si>
  <si>
    <t xml:space="preserve">4我覺得自己對不起別人。9“不论我做什么都不会让我变得更好
</t>
    <phoneticPr fontId="10" type="noConversion"/>
  </si>
  <si>
    <t>11.你坐卧不安，难以保持平静吗？</t>
  </si>
  <si>
    <t>4.你夜间睡眠不好吗？经常早醒吗？</t>
    <phoneticPr fontId="5" type="noConversion"/>
  </si>
  <si>
    <t>BDI-I</t>
    <phoneticPr fontId="5" type="noConversion"/>
  </si>
  <si>
    <t>MSSMHS</t>
    <phoneticPr fontId="5" type="noConversion"/>
  </si>
  <si>
    <t>PHQ-9</t>
    <phoneticPr fontId="5" type="noConversion"/>
  </si>
  <si>
    <t>CES-D-C</t>
    <phoneticPr fontId="5" type="noConversion"/>
  </si>
  <si>
    <t>ADI</t>
    <phoneticPr fontId="5" type="noConversion"/>
  </si>
  <si>
    <t>CEPS</t>
    <phoneticPr fontId="5" type="noConversion"/>
  </si>
  <si>
    <t>DSI</t>
    <phoneticPr fontId="5" type="noConversion"/>
  </si>
  <si>
    <t>HADS</t>
    <phoneticPr fontId="5" type="noConversion"/>
  </si>
  <si>
    <t>Ji_2007</t>
    <phoneticPr fontId="5" type="noConversion"/>
  </si>
  <si>
    <t>Blue</t>
  </si>
  <si>
    <t>Low mood</t>
  </si>
  <si>
    <t>Sad</t>
  </si>
  <si>
    <t>Anhedonia</t>
  </si>
  <si>
    <t>Psychic anxiety</t>
  </si>
  <si>
    <t>Agitation</t>
  </si>
  <si>
    <t>Somatic anxiety</t>
  </si>
  <si>
    <t>Psychological worry</t>
  </si>
  <si>
    <t>Somatic worry</t>
  </si>
  <si>
    <t>Diurnal variation</t>
  </si>
  <si>
    <t>Negative body perception</t>
  </si>
  <si>
    <t>Felt people disliked me</t>
  </si>
  <si>
    <t>Decreased libido</t>
  </si>
  <si>
    <t>Interest loss</t>
  </si>
  <si>
    <t>Pleasure loss</t>
  </si>
  <si>
    <t>Talked less</t>
  </si>
  <si>
    <t>Retardation</t>
  </si>
  <si>
    <t>Gastrointestinal</t>
  </si>
  <si>
    <t>Sympathetic arousal</t>
  </si>
  <si>
    <t>General somatic symptoms</t>
  </si>
  <si>
    <t>Fatigue</t>
  </si>
  <si>
    <t>Appetite increase</t>
  </si>
  <si>
    <t>Appetite decrease</t>
  </si>
  <si>
    <t>Poor sleep</t>
  </si>
  <si>
    <t>Hypersomnia</t>
  </si>
  <si>
    <t>Early insomnia</t>
  </si>
  <si>
    <t>Middle insomnia</t>
  </si>
  <si>
    <t>Late insomnia</t>
  </si>
  <si>
    <t>Weight decrease</t>
  </si>
  <si>
    <t>Indifferent</t>
  </si>
  <si>
    <t>Lack of friends</t>
  </si>
  <si>
    <t>Obsessional symptoms</t>
  </si>
  <si>
    <t>Perfectionism</t>
  </si>
  <si>
    <t>Depersonalization &amp; derealization</t>
  </si>
  <si>
    <t xml:space="preserve">Hypochondriasis </t>
  </si>
  <si>
    <t>Paranoid symptoms</t>
  </si>
  <si>
    <t>Persecutory delusion</t>
  </si>
  <si>
    <t>Lack of interest in school activities</t>
  </si>
  <si>
    <t>I like talking with my family</t>
  </si>
  <si>
    <t>Indecisiveness</t>
  </si>
  <si>
    <t xml:space="preserve">Concentration  </t>
  </si>
  <si>
    <t>Easily embarrassed</t>
  </si>
  <si>
    <t>Cry</t>
  </si>
  <si>
    <t>Suicidal ideation</t>
  </si>
  <si>
    <t>Excessive dependence</t>
  </si>
  <si>
    <t>Mood swings</t>
  </si>
  <si>
    <t>Introspection</t>
  </si>
  <si>
    <t>Psychological inferiority</t>
    <phoneticPr fontId="5" type="noConversion"/>
  </si>
  <si>
    <t>Depressed mood#</t>
    <phoneticPr fontId="5" type="noConversion"/>
  </si>
  <si>
    <t>Irritability#</t>
    <phoneticPr fontId="5" type="noConversion"/>
  </si>
  <si>
    <t xml:space="preserve">Interest/ Pleasure loss# </t>
    <phoneticPr fontId="5" type="noConversion"/>
  </si>
  <si>
    <t>Somatization#</t>
    <phoneticPr fontId="5" type="noConversion"/>
  </si>
  <si>
    <t>学习困难</t>
    <phoneticPr fontId="9" type="noConversion"/>
  </si>
  <si>
    <t>苦闷感（scl-90英文题目是blue）</t>
    <phoneticPr fontId="5" type="noConversion"/>
  </si>
  <si>
    <t>Reduced socialization#</t>
    <phoneticPr fontId="5" type="noConversion"/>
  </si>
  <si>
    <t>Appetite Change#</t>
    <phoneticPr fontId="5" type="noConversion"/>
  </si>
  <si>
    <r>
      <rPr>
        <sz val="14"/>
        <color theme="1"/>
        <rFont val="宋体"/>
        <family val="3"/>
        <charset val="134"/>
      </rPr>
      <t>内容分析结果</t>
    </r>
    <r>
      <rPr>
        <sz val="14"/>
        <color theme="1"/>
        <rFont val="Times New Roman"/>
        <family val="1"/>
      </rPr>
      <t xml:space="preserve"> #</t>
    </r>
    <r>
      <rPr>
        <sz val="14"/>
        <color theme="1"/>
        <rFont val="宋体"/>
        <family val="3"/>
        <charset val="134"/>
      </rPr>
      <t>表示复合症状名字，红色表示属于复合症状的子症状</t>
    </r>
    <phoneticPr fontId="5" type="noConversion"/>
  </si>
  <si>
    <r>
      <rPr>
        <sz val="14"/>
        <color theme="1"/>
        <rFont val="宋体"/>
        <family val="3"/>
        <charset val="134"/>
      </rPr>
      <t>内容分析结果</t>
    </r>
    <phoneticPr fontId="5" type="noConversion"/>
  </si>
  <si>
    <r>
      <t>(CBCL)</t>
    </r>
    <r>
      <rPr>
        <sz val="14"/>
        <color theme="1"/>
        <rFont val="宋体"/>
        <family val="3"/>
        <charset val="134"/>
      </rPr>
      <t>男生</t>
    </r>
    <phoneticPr fontId="5" type="noConversion"/>
  </si>
  <si>
    <r>
      <t>(CBCL)</t>
    </r>
    <r>
      <rPr>
        <sz val="14"/>
        <color theme="1"/>
        <rFont val="宋体"/>
        <family val="3"/>
        <charset val="134"/>
      </rPr>
      <t>女生</t>
    </r>
    <phoneticPr fontId="5" type="noConversion"/>
  </si>
  <si>
    <t>Somnipathy#</t>
    <phoneticPr fontId="5" type="noConversion"/>
  </si>
  <si>
    <t>CES-D-13</t>
    <phoneticPr fontId="5" type="noConversion"/>
  </si>
  <si>
    <t>Number of idiosyncratic items:</t>
    <phoneticPr fontId="5" type="noConversion"/>
  </si>
  <si>
    <t>scale captures x% of all 84 disparate items:</t>
    <phoneticPr fontId="5" type="noConversion"/>
  </si>
  <si>
    <t>KADS-11</t>
    <phoneticPr fontId="5" type="noConversion"/>
  </si>
  <si>
    <t>KADS-11</t>
    <phoneticPr fontId="5" type="noConversion"/>
  </si>
  <si>
    <t>DASS-21</t>
    <phoneticPr fontId="5" type="noConversion"/>
  </si>
  <si>
    <t>DASS-21</t>
    <phoneticPr fontId="5" type="noConversion"/>
  </si>
  <si>
    <t>sum of items:</t>
  </si>
  <si>
    <t>CSSDS</t>
    <phoneticPr fontId="5" type="noConversion"/>
  </si>
  <si>
    <t>Negative body perception</t>
    <phoneticPr fontId="5" type="noConversion"/>
  </si>
  <si>
    <t>30比不上其他人</t>
    <phoneticPr fontId="10" type="noConversion"/>
  </si>
  <si>
    <t xml:space="preserve">10.兴趣减退 </t>
    <phoneticPr fontId="5" type="noConversion"/>
  </si>
  <si>
    <t>14.我把做什么事都当成负担/2.我精神不振</t>
    <phoneticPr fontId="9" type="noConversion"/>
  </si>
  <si>
    <t>8上課時，我沒辦法專心聽講。16我覺得自己沒辦法集中注意力。</t>
    <phoneticPr fontId="9" type="noConversion"/>
  </si>
  <si>
    <t>9觉得自己是一个坏人；13感觉自己把所有的事情都做错了</t>
    <phoneticPr fontId="5" type="noConversion"/>
  </si>
  <si>
    <t>Agitation</t>
    <phoneticPr fontId="5" type="noConversion"/>
  </si>
  <si>
    <t>合并后题目数</t>
    <phoneticPr fontId="5" type="noConversion"/>
  </si>
  <si>
    <t>合并题目数</t>
    <phoneticPr fontId="5" type="noConversion"/>
  </si>
  <si>
    <t>合并前题目数</t>
    <phoneticPr fontId="5" type="noConversion"/>
  </si>
  <si>
    <t>15感到孤单</t>
    <phoneticPr fontId="5" type="noConversion"/>
  </si>
  <si>
    <t>题目数</t>
    <phoneticPr fontId="5" type="noConversion"/>
  </si>
  <si>
    <t>15  学习困难 23  成绩不良</t>
    <phoneticPr fontId="9" type="noConversion"/>
  </si>
  <si>
    <t>合并数</t>
    <phoneticPr fontId="5" type="noConversion"/>
  </si>
  <si>
    <t>*12喜欢各种事物 10生活没意思</t>
    <phoneticPr fontId="9" type="noConversion"/>
  </si>
  <si>
    <t xml:space="preserve">15.我对人对事冷淡 </t>
    <phoneticPr fontId="5" type="noConversion"/>
  </si>
  <si>
    <t>理论合并后题目数</t>
    <phoneticPr fontId="5" type="noConversion"/>
  </si>
  <si>
    <r>
      <rPr>
        <sz val="11"/>
        <color theme="1"/>
        <rFont val="宋体"/>
        <family val="3"/>
        <charset val="134"/>
      </rPr>
      <t>有多少个量表涉及该症状</t>
    </r>
    <phoneticPr fontId="5" type="noConversion"/>
  </si>
  <si>
    <r>
      <rPr>
        <sz val="10"/>
        <color theme="1"/>
        <rFont val="宋体"/>
        <family val="3"/>
        <charset val="134"/>
      </rPr>
      <t>内容分析结果</t>
    </r>
    <r>
      <rPr>
        <sz val="10"/>
        <color theme="1"/>
        <rFont val="Times New Roman"/>
        <family val="1"/>
      </rPr>
      <t xml:space="preserve"> #</t>
    </r>
    <r>
      <rPr>
        <sz val="10"/>
        <color theme="1"/>
        <rFont val="宋体"/>
        <family val="3"/>
        <charset val="134"/>
      </rPr>
      <t>表示复合症状名字，红色表示属于复合症状的子症状。绿色底纹表示为</t>
    </r>
    <r>
      <rPr>
        <sz val="10"/>
        <color theme="1"/>
        <rFont val="Times New Roman"/>
        <family val="1"/>
      </rPr>
      <t>dsm-5</t>
    </r>
    <r>
      <rPr>
        <sz val="10"/>
        <color theme="1"/>
        <rFont val="宋体"/>
        <family val="3"/>
        <charset val="134"/>
      </rPr>
      <t>抑郁症状</t>
    </r>
    <phoneticPr fontId="5" type="noConversion"/>
  </si>
  <si>
    <r>
      <rPr>
        <sz val="10"/>
        <color theme="1"/>
        <rFont val="宋体"/>
        <family val="3"/>
        <charset val="134"/>
      </rPr>
      <t>有多少个量表涉及该症状</t>
    </r>
    <phoneticPr fontId="5" type="noConversion"/>
  </si>
  <si>
    <r>
      <rPr>
        <sz val="10"/>
        <color theme="1"/>
        <rFont val="宋体"/>
        <family val="3"/>
        <charset val="134"/>
      </rPr>
      <t>内容分析结果</t>
    </r>
    <phoneticPr fontId="5" type="noConversion"/>
  </si>
  <si>
    <r>
      <t>(CBCL)</t>
    </r>
    <r>
      <rPr>
        <sz val="10"/>
        <color theme="1"/>
        <rFont val="宋体"/>
        <family val="3"/>
        <charset val="134"/>
      </rPr>
      <t>男生</t>
    </r>
    <phoneticPr fontId="5" type="noConversion"/>
  </si>
  <si>
    <r>
      <t>(CBCL)</t>
    </r>
    <r>
      <rPr>
        <sz val="10"/>
        <color theme="1"/>
        <rFont val="宋体"/>
        <family val="3"/>
        <charset val="134"/>
      </rPr>
      <t>女生</t>
    </r>
    <phoneticPr fontId="5" type="noConversion"/>
  </si>
  <si>
    <t>I didn’t want to see my friends</t>
    <phoneticPr fontId="5" type="noConversion"/>
  </si>
  <si>
    <t>I am bad all the time</t>
    <phoneticPr fontId="5" type="noConversion"/>
  </si>
  <si>
    <t>I never do what I'm told</t>
    <phoneticPr fontId="5" type="noConversion"/>
  </si>
  <si>
    <t>I get into fights all the time</t>
    <phoneticPr fontId="5" type="noConversion"/>
  </si>
  <si>
    <t>I never have fun at school</t>
    <phoneticPr fontId="5" type="noConversion"/>
  </si>
  <si>
    <t>I thought my family would be better off without me</t>
    <phoneticPr fontId="5" type="noConversion"/>
  </si>
  <si>
    <t xml:space="preserve"> Sakuma_2010</t>
    <phoneticPr fontId="5" type="noConversion"/>
  </si>
  <si>
    <t>Sakuma_2010</t>
    <phoneticPr fontId="5" type="noConversion"/>
  </si>
  <si>
    <t>肠胃症状（便秘，腹泻）</t>
    <phoneticPr fontId="9" type="noConversion"/>
  </si>
  <si>
    <t>Q17我觉得自己是个有用的人,有人需要我(无用感)。Q19我认为如果我死了,别人会生活得好些(无价值感)。</t>
    <phoneticPr fontId="9" type="noConversion"/>
  </si>
  <si>
    <t>Q50.我没有特别感到内疚
1.在相当一部分时间内我感到内疚
2.在部分时间里我感到内疚
3.我时刻感到内疚 
Q8 0.我感觉我并不比别人差
1.我对自己的缺点和错误常自我反省
2.我经常责备自己的过失
3，每次发生糟糕的事我都责备自己内疚</t>
    <phoneticPr fontId="5" type="noConversion"/>
  </si>
  <si>
    <t xml:space="preserve">Q5. 内疚感 Q8 自责
 </t>
    <phoneticPr fontId="5" type="noConversion"/>
  </si>
  <si>
    <t>q18故意伤害自己或企图自杀 q91.声言要自杀</t>
    <phoneticPr fontId="5" type="noConversion"/>
  </si>
  <si>
    <t xml:space="preserve">Q8不再是个好人-Q9那些不是我做错的事也感到自责-Q24 认为自己是坏人；31做任何事都是错的 </t>
    <phoneticPr fontId="10" type="noConversion"/>
  </si>
  <si>
    <t>Q6活动比平时慢 Q13比平时语速慢合并为迟缓</t>
    <phoneticPr fontId="9" type="noConversion"/>
  </si>
  <si>
    <t>Q16活着不值得 Q17想到死亡 Q19想到自杀</t>
    <phoneticPr fontId="9" type="noConversion"/>
  </si>
  <si>
    <t>Q4 我对学习没有兴趣 Q8 我觉得学习枯燥无味 18.我丧失学习的毅力 20.我学习效率低 16.我对我的学习成绩发愁 12.我学习成绩下降</t>
    <phoneticPr fontId="9" type="noConversion"/>
  </si>
  <si>
    <t>q8Was not happy  q17Was happy 
q9Felt down and unhappy
q18Had a good time®</t>
    <phoneticPr fontId="10" type="noConversion"/>
  </si>
  <si>
    <t>q9Lack of confidence -q10 Feeling self-abased自卑</t>
    <phoneticPr fontId="5" type="noConversion"/>
  </si>
  <si>
    <r>
      <rPr>
        <sz val="10"/>
        <color theme="1"/>
        <rFont val="宋体"/>
        <family val="1"/>
        <charset val="134"/>
      </rPr>
      <t>中国量表的症状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中国编制的量表</t>
    </r>
    <phoneticPr fontId="5" type="noConversion"/>
  </si>
  <si>
    <t>Irritability towards parents</t>
    <phoneticPr fontId="5" type="noConversion"/>
  </si>
  <si>
    <t>Fear</t>
  </si>
  <si>
    <t>Feeling of loneliness</t>
    <phoneticPr fontId="5" type="noConversion"/>
  </si>
  <si>
    <t>Feeling of distress</t>
    <phoneticPr fontId="5" type="noConversion"/>
  </si>
  <si>
    <t>Feeling of failure</t>
    <phoneticPr fontId="5" type="noConversion"/>
  </si>
  <si>
    <t>Feeling of hopelessness</t>
    <phoneticPr fontId="5" type="noConversion"/>
  </si>
  <si>
    <t>Feeling of repression</t>
    <phoneticPr fontId="5" type="noConversion"/>
  </si>
  <si>
    <t>Self-blame/Guilt</t>
  </si>
  <si>
    <t>Inferiority/Self-confidence#</t>
    <phoneticPr fontId="5" type="noConversion"/>
  </si>
  <si>
    <t>Feeling of worthlessness</t>
    <phoneticPr fontId="5" type="noConversion"/>
  </si>
  <si>
    <t>Feeling of decreased ability</t>
    <phoneticPr fontId="5" type="noConversion"/>
  </si>
  <si>
    <t>Difficulty thinking</t>
    <phoneticPr fontId="5" type="noConversion"/>
  </si>
  <si>
    <t>Loss of energy</t>
    <phoneticPr fontId="5" type="noConversion"/>
  </si>
  <si>
    <t>Hostility</t>
  </si>
  <si>
    <t>Suspiciousness</t>
  </si>
  <si>
    <t>Feeling of being punished</t>
    <phoneticPr fontId="5" type="noConversion"/>
  </si>
  <si>
    <t>Learning difficulties</t>
  </si>
  <si>
    <t>Running away from home</t>
  </si>
  <si>
    <t>Fear of having bad thoughts or doing bad things</t>
  </si>
  <si>
    <t>Lack of patience</t>
  </si>
  <si>
    <t>Poor judgment</t>
  </si>
  <si>
    <t>Want to take advantage</t>
  </si>
  <si>
    <t>Reduced socialization#</t>
  </si>
  <si>
    <r>
      <t>(CBCL)</t>
    </r>
    <r>
      <rPr>
        <sz val="14"/>
        <color rgb="FFFF0000"/>
        <rFont val="宋体"/>
        <family val="3"/>
        <charset val="134"/>
      </rPr>
      <t>男生</t>
    </r>
    <phoneticPr fontId="5" type="noConversion"/>
  </si>
  <si>
    <r>
      <t>(CBCL)</t>
    </r>
    <r>
      <rPr>
        <sz val="14"/>
        <color rgb="FFFF0000"/>
        <rFont val="宋体"/>
        <family val="3"/>
        <charset val="134"/>
      </rPr>
      <t>女生</t>
    </r>
    <phoneticPr fontId="5" type="noConversion"/>
  </si>
  <si>
    <t>Lack of patience</t>
    <phoneticPr fontId="5" type="noConversion"/>
  </si>
  <si>
    <t>症状名称</t>
    <phoneticPr fontId="5" type="noConversion"/>
  </si>
  <si>
    <t>Depressed mood#</t>
  </si>
  <si>
    <t>Irritability#</t>
  </si>
  <si>
    <t>Irritability towards parents</t>
  </si>
  <si>
    <t>Feeling of loneliness</t>
  </si>
  <si>
    <t>Feeling of distress</t>
  </si>
  <si>
    <t>Feeling of failure</t>
  </si>
  <si>
    <t>Feeling of hopelessness</t>
  </si>
  <si>
    <t>Feeling of repression</t>
  </si>
  <si>
    <t>Inferiority/Self-confidence#</t>
  </si>
  <si>
    <t>Psychological inferiority</t>
  </si>
  <si>
    <t>Feeling of worthlessness</t>
  </si>
  <si>
    <t>Feeling of decreased ability</t>
  </si>
  <si>
    <t>Loss of energy</t>
  </si>
  <si>
    <t xml:space="preserve">Interest/ Pleasure loss# </t>
  </si>
  <si>
    <t>Difficulty thinking</t>
  </si>
  <si>
    <t>Somatization#</t>
  </si>
  <si>
    <t>Appetite Change#</t>
  </si>
  <si>
    <t>Somnipathy#</t>
  </si>
  <si>
    <t>I didn’t want to see my friends</t>
  </si>
  <si>
    <t>Feeling of being punished</t>
  </si>
  <si>
    <t>I am bad all the time</t>
  </si>
  <si>
    <t>I never do what I'm told</t>
  </si>
  <si>
    <t>I get into fights all the time</t>
  </si>
  <si>
    <t>I never have fun at school</t>
  </si>
  <si>
    <t>I thought my family would be better off without me</t>
  </si>
  <si>
    <t xml:space="preserve">横排红色表示测量儿童青少年的量表，蓝色表示这当中中国编制的量表。
红色的症状表示儿童青少年量表才测量到的症状，蓝色表示其中中国量表才测量到的症状。
</t>
    <phoneticPr fontId="5" type="noConversion"/>
  </si>
  <si>
    <t>Depressed mood</t>
    <phoneticPr fontId="5" type="noConversion"/>
  </si>
  <si>
    <t>Irritability</t>
    <phoneticPr fontId="5" type="noConversion"/>
  </si>
  <si>
    <t>Appetite Change</t>
    <phoneticPr fontId="5" type="noConversion"/>
  </si>
  <si>
    <t>Reduced socialization</t>
    <phoneticPr fontId="5" type="noConversion"/>
  </si>
  <si>
    <t>Inferiority/Self-confidence</t>
    <phoneticPr fontId="5" type="noConversion"/>
  </si>
  <si>
    <t>Interest/ Pleasure loss</t>
    <phoneticPr fontId="5" type="noConversion"/>
  </si>
  <si>
    <t>Somatization</t>
    <phoneticPr fontId="5" type="noConversion"/>
  </si>
  <si>
    <t>Somnipathy</t>
    <phoneticPr fontId="5" type="noConversion"/>
  </si>
  <si>
    <t>简明症状评定量表(BSRS)</t>
    <phoneticPr fontId="5" type="noConversion"/>
  </si>
  <si>
    <t>BSRS</t>
    <phoneticPr fontId="5" type="noConversion"/>
  </si>
  <si>
    <t>Direct measurement</t>
    <phoneticPr fontId="5" type="noConversion"/>
  </si>
  <si>
    <t>Indirect measurement</t>
    <phoneticPr fontId="5" type="noConversion"/>
  </si>
  <si>
    <t>Poor sleep</t>
    <phoneticPr fontId="5" type="noConversion"/>
  </si>
  <si>
    <t>UPI</t>
    <phoneticPr fontId="5" type="noConversion"/>
  </si>
  <si>
    <t xml:space="preserve">q16 Something good going to 
q10 Things did not work out </t>
    <phoneticPr fontId="10" type="noConversion"/>
  </si>
  <si>
    <t>自伤意念/自伤</t>
    <phoneticPr fontId="5" type="noConversion"/>
  </si>
  <si>
    <t>2.自杀或自伤想法/行为</t>
    <phoneticPr fontId="5" type="noConversion"/>
  </si>
  <si>
    <t>9，有不如死掉或用某种方式伤害自己的念头</t>
    <phoneticPr fontId="5" type="noConversion"/>
  </si>
  <si>
    <t>Suicidal ideation</t>
    <phoneticPr fontId="5" type="noConversion"/>
  </si>
  <si>
    <t>Self-harm ideation</t>
    <phoneticPr fontId="5" type="noConversion"/>
  </si>
  <si>
    <t>合并后直接测量数/题目数</t>
    <phoneticPr fontId="5" type="noConversion"/>
  </si>
  <si>
    <t>害羞</t>
    <phoneticPr fontId="5" type="noConversion"/>
  </si>
  <si>
    <t>Shy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</si>
</sst>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6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等线"/>
      <family val="2"/>
      <charset val="136"/>
      <scheme val="minor"/>
    </font>
    <font>
      <sz val="10.5"/>
      <color theme="1"/>
      <name val="Times New Roman"/>
      <family val="1"/>
    </font>
    <font>
      <sz val="9"/>
      <name val="等线"/>
      <family val="2"/>
      <charset val="136"/>
      <scheme val="minor"/>
    </font>
    <font>
      <sz val="9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0"/>
      <name val="宋体"/>
      <family val="3"/>
      <charset val="134"/>
    </font>
    <font>
      <sz val="11"/>
      <color theme="0"/>
      <name val="等线"/>
      <family val="2"/>
      <charset val="136"/>
      <scheme val="minor"/>
    </font>
    <font>
      <sz val="11"/>
      <color rgb="FF333333"/>
      <name val="宋体"/>
      <family val="3"/>
      <charset val="134"/>
    </font>
    <font>
      <sz val="11"/>
      <color rgb="FF3F3F76"/>
      <name val="等线"/>
      <family val="2"/>
      <charset val="136"/>
      <scheme val="minor"/>
    </font>
    <font>
      <sz val="11"/>
      <color rgb="FF9C6500"/>
      <name val="等线"/>
      <family val="2"/>
      <charset val="136"/>
      <scheme val="minor"/>
    </font>
    <font>
      <sz val="11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rgb="FF9C0006"/>
      <name val="等线"/>
      <family val="2"/>
      <charset val="136"/>
      <scheme val="minor"/>
    </font>
    <font>
      <sz val="11"/>
      <name val="等线"/>
      <family val="2"/>
      <charset val="136"/>
      <scheme val="minor"/>
    </font>
    <font>
      <sz val="11"/>
      <color theme="1"/>
      <name val="宋体"/>
      <family val="3"/>
      <charset val="1"/>
    </font>
    <font>
      <sz val="11"/>
      <color theme="1"/>
      <name val="Tahoma"/>
      <family val="3"/>
      <charset val="1"/>
    </font>
    <font>
      <sz val="11"/>
      <color theme="1"/>
      <name val="Calibri"/>
      <family val="3"/>
    </font>
    <font>
      <sz val="11"/>
      <color theme="1"/>
      <name val="宋体"/>
      <family val="2"/>
      <charset val="134"/>
    </font>
    <font>
      <sz val="11"/>
      <color theme="1"/>
      <name val="Tahoma"/>
      <family val="2"/>
    </font>
    <font>
      <b/>
      <sz val="11"/>
      <color theme="1"/>
      <name val="宋体"/>
      <family val="3"/>
      <charset val="134"/>
    </font>
    <font>
      <sz val="10.5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color theme="1"/>
      <name val="宋体"/>
      <family val="1"/>
      <charset val="134"/>
    </font>
    <font>
      <sz val="10.5"/>
      <color theme="1"/>
      <name val="等线"/>
      <family val="1"/>
      <charset val="134"/>
    </font>
    <font>
      <sz val="10.5"/>
      <color theme="1"/>
      <name val="Times New Roman"/>
      <family val="3"/>
    </font>
    <font>
      <sz val="11"/>
      <color rgb="FF333333"/>
      <name val="等线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9C0006"/>
      <name val="Times New Roman"/>
      <family val="1"/>
    </font>
    <font>
      <sz val="11"/>
      <color rgb="FF00B0F0"/>
      <name val="Times New Roman"/>
      <family val="1"/>
    </font>
    <font>
      <sz val="11"/>
      <color rgb="FF9C6500"/>
      <name val="Times New Roman"/>
      <family val="1"/>
    </font>
    <font>
      <sz val="11"/>
      <color theme="0"/>
      <name val="Times New Roman"/>
      <family val="1"/>
    </font>
    <font>
      <sz val="11"/>
      <color rgb="FF3F3F76"/>
      <name val="Times New Roman"/>
      <family val="1"/>
    </font>
    <font>
      <sz val="11"/>
      <color rgb="FF333333"/>
      <name val="Times New Roman"/>
      <family val="1"/>
    </font>
    <font>
      <sz val="11"/>
      <color theme="1"/>
      <name val="Times New Roman"/>
      <family val="3"/>
      <charset val="134"/>
    </font>
    <font>
      <sz val="9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rgb="FF2A2B2E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9"/>
      <color theme="1"/>
      <name val="宋体"/>
      <family val="1"/>
      <charset val="134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color rgb="FF9C0006"/>
      <name val="Times New Roman"/>
      <family val="1"/>
    </font>
    <font>
      <sz val="10"/>
      <color rgb="FF9C6500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sz val="10"/>
      <color rgb="FF3F3F76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2A2B2E"/>
      <name val="Times New Roman"/>
      <family val="1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sz val="14"/>
      <color rgb="FFFF0000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color rgb="FFFF0000"/>
      <name val="Times New Roman"/>
      <family val="1"/>
    </font>
    <font>
      <sz val="14"/>
      <color theme="4"/>
      <name val="Times New Roman"/>
      <family val="1"/>
    </font>
    <font>
      <sz val="12"/>
      <color theme="4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F6AB8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71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/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5" borderId="1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/>
  </cellStyleXfs>
  <cellXfs count="305">
    <xf numFmtId="0" fontId="0" fillId="0" borderId="0" xfId="0"/>
    <xf numFmtId="0" fontId="4" fillId="0" borderId="0" xfId="1">
      <alignment vertical="center"/>
    </xf>
    <xf numFmtId="0" fontId="6" fillId="0" borderId="0" xfId="1" applyFont="1" applyAlignment="1"/>
    <xf numFmtId="0" fontId="4" fillId="0" borderId="0" xfId="1" applyAlignment="1">
      <alignment wrapText="1"/>
    </xf>
    <xf numFmtId="0" fontId="4" fillId="0" borderId="0" xfId="1" applyAlignment="1"/>
    <xf numFmtId="0" fontId="6" fillId="0" borderId="0" xfId="2" applyFont="1" applyFill="1" applyAlignment="1">
      <alignment wrapText="1"/>
    </xf>
    <xf numFmtId="0" fontId="6" fillId="0" borderId="0" xfId="1" applyFont="1" applyAlignment="1">
      <alignment wrapText="1"/>
    </xf>
    <xf numFmtId="0" fontId="6" fillId="0" borderId="0" xfId="2" applyFont="1" applyFill="1" applyAlignment="1"/>
    <xf numFmtId="0" fontId="12" fillId="15" borderId="0" xfId="1" applyFont="1" applyFill="1">
      <alignment vertical="center"/>
    </xf>
    <xf numFmtId="0" fontId="4" fillId="15" borderId="0" xfId="1" applyFill="1">
      <alignment vertical="center"/>
    </xf>
    <xf numFmtId="0" fontId="6" fillId="14" borderId="0" xfId="2" applyFont="1" applyFill="1" applyAlignment="1"/>
    <xf numFmtId="0" fontId="6" fillId="15" borderId="0" xfId="1" applyFont="1" applyFill="1" applyAlignment="1">
      <alignment wrapText="1"/>
    </xf>
    <xf numFmtId="0" fontId="6" fillId="14" borderId="0" xfId="1" applyFont="1" applyFill="1" applyAlignment="1">
      <alignment wrapText="1"/>
    </xf>
    <xf numFmtId="0" fontId="22" fillId="0" borderId="0" xfId="1" applyFont="1" applyAlignment="1">
      <alignment wrapText="1"/>
    </xf>
    <xf numFmtId="0" fontId="0" fillId="0" borderId="0" xfId="0" applyAlignment="1">
      <alignment wrapText="1"/>
    </xf>
    <xf numFmtId="0" fontId="6" fillId="14" borderId="0" xfId="6" applyFont="1" applyFill="1" applyAlignment="1">
      <alignment vertical="center" wrapText="1"/>
    </xf>
    <xf numFmtId="0" fontId="6" fillId="0" borderId="0" xfId="14" applyFont="1" applyAlignment="1">
      <alignment wrapText="1"/>
    </xf>
    <xf numFmtId="0" fontId="25" fillId="0" borderId="0" xfId="2" applyFont="1" applyFill="1" applyAlignment="1">
      <alignment wrapText="1"/>
    </xf>
    <xf numFmtId="0" fontId="4" fillId="7" borderId="0" xfId="13" applyAlignment="1">
      <alignment wrapText="1"/>
    </xf>
    <xf numFmtId="0" fontId="4" fillId="7" borderId="0" xfId="13" applyAlignment="1">
      <alignment horizontal="left" wrapText="1"/>
    </xf>
    <xf numFmtId="0" fontId="0" fillId="7" borderId="0" xfId="13" applyFont="1" applyAlignment="1">
      <alignment horizontal="left" wrapText="1"/>
    </xf>
    <xf numFmtId="0" fontId="11" fillId="0" borderId="0" xfId="1" applyFont="1" applyAlignment="1">
      <alignment horizontal="justify" vertical="center" wrapText="1"/>
    </xf>
    <xf numFmtId="0" fontId="6" fillId="0" borderId="0" xfId="1" applyFont="1" applyAlignment="1">
      <alignment vertical="center" wrapText="1"/>
    </xf>
    <xf numFmtId="0" fontId="21" fillId="37" borderId="0" xfId="12" applyFont="1" applyFill="1" applyAlignment="1">
      <alignment wrapText="1"/>
    </xf>
    <xf numFmtId="0" fontId="21" fillId="37" borderId="0" xfId="12" applyFont="1" applyFill="1" applyAlignment="1">
      <alignment horizontal="left" wrapText="1"/>
    </xf>
    <xf numFmtId="0" fontId="20" fillId="37" borderId="0" xfId="12" applyFill="1" applyAlignment="1">
      <alignment wrapText="1"/>
    </xf>
    <xf numFmtId="0" fontId="4" fillId="37" borderId="0" xfId="12" applyFont="1" applyFill="1" applyAlignment="1">
      <alignment horizontal="left" wrapText="1"/>
    </xf>
    <xf numFmtId="0" fontId="20" fillId="37" borderId="0" xfId="12" applyFill="1" applyAlignment="1">
      <alignment horizontal="left" wrapText="1"/>
    </xf>
    <xf numFmtId="0" fontId="12" fillId="15" borderId="0" xfId="12" applyFont="1" applyFill="1" applyAlignment="1">
      <alignment horizontal="left" wrapText="1"/>
    </xf>
    <xf numFmtId="0" fontId="4" fillId="12" borderId="0" xfId="11" applyAlignment="1">
      <alignment wrapText="1"/>
    </xf>
    <xf numFmtId="0" fontId="4" fillId="12" borderId="0" xfId="11" applyAlignment="1">
      <alignment horizontal="left" wrapText="1"/>
    </xf>
    <xf numFmtId="0" fontId="0" fillId="12" borderId="0" xfId="11" applyFont="1" applyAlignment="1">
      <alignment horizontal="left" wrapText="1"/>
    </xf>
    <xf numFmtId="0" fontId="4" fillId="9" borderId="0" xfId="10" applyAlignment="1">
      <alignment wrapText="1"/>
    </xf>
    <xf numFmtId="0" fontId="6" fillId="36" borderId="0" xfId="1" applyFont="1" applyFill="1" applyAlignment="1">
      <alignment wrapText="1"/>
    </xf>
    <xf numFmtId="0" fontId="19" fillId="0" borderId="0" xfId="1" applyFont="1" applyAlignment="1">
      <alignment wrapText="1"/>
    </xf>
    <xf numFmtId="0" fontId="19" fillId="0" borderId="0" xfId="1" applyFont="1" applyAlignment="1">
      <alignment vertical="center" wrapText="1"/>
    </xf>
    <xf numFmtId="0" fontId="6" fillId="17" borderId="0" xfId="1" applyFont="1" applyFill="1" applyAlignment="1">
      <alignment wrapText="1"/>
    </xf>
    <xf numFmtId="0" fontId="6" fillId="35" borderId="0" xfId="1" applyFont="1" applyFill="1" applyAlignment="1">
      <alignment wrapText="1"/>
    </xf>
    <xf numFmtId="0" fontId="6" fillId="35" borderId="0" xfId="1" applyFont="1" applyFill="1" applyAlignment="1">
      <alignment horizontal="left" wrapText="1"/>
    </xf>
    <xf numFmtId="0" fontId="18" fillId="0" borderId="0" xfId="9" applyFont="1" applyFill="1" applyAlignment="1">
      <alignment vertical="center" wrapText="1"/>
    </xf>
    <xf numFmtId="0" fontId="6" fillId="33" borderId="0" xfId="1" applyFont="1" applyFill="1" applyAlignment="1">
      <alignment wrapText="1"/>
    </xf>
    <xf numFmtId="0" fontId="17" fillId="4" borderId="0" xfId="6" applyAlignment="1">
      <alignment wrapText="1"/>
    </xf>
    <xf numFmtId="0" fontId="17" fillId="4" borderId="0" xfId="6" applyAlignment="1">
      <alignment horizontal="left" wrapText="1"/>
    </xf>
    <xf numFmtId="0" fontId="6" fillId="14" borderId="0" xfId="1" applyFont="1" applyFill="1" applyAlignment="1">
      <alignment vertical="center" wrapText="1"/>
    </xf>
    <xf numFmtId="0" fontId="4" fillId="13" borderId="0" xfId="8" applyAlignment="1">
      <alignment wrapText="1"/>
    </xf>
    <xf numFmtId="0" fontId="4" fillId="13" borderId="0" xfId="8" applyAlignment="1">
      <alignment horizontal="left" wrapText="1"/>
    </xf>
    <xf numFmtId="0" fontId="4" fillId="8" borderId="0" xfId="7" applyAlignment="1">
      <alignment wrapText="1"/>
    </xf>
    <xf numFmtId="0" fontId="4" fillId="8" borderId="0" xfId="7" applyAlignment="1">
      <alignment horizontal="left" wrapText="1"/>
    </xf>
    <xf numFmtId="0" fontId="0" fillId="32" borderId="0" xfId="7" applyFont="1" applyFill="1" applyAlignment="1">
      <alignment wrapText="1"/>
    </xf>
    <xf numFmtId="0" fontId="4" fillId="32" borderId="0" xfId="7" applyFill="1" applyAlignment="1">
      <alignment wrapText="1"/>
    </xf>
    <xf numFmtId="0" fontId="4" fillId="15" borderId="0" xfId="7" applyFill="1" applyAlignment="1">
      <alignment wrapText="1"/>
    </xf>
    <xf numFmtId="0" fontId="6" fillId="14" borderId="0" xfId="2" applyFont="1" applyFill="1" applyAlignment="1">
      <alignment wrapText="1"/>
    </xf>
    <xf numFmtId="0" fontId="4" fillId="8" borderId="0" xfId="7" applyBorder="1" applyAlignment="1">
      <alignment wrapText="1"/>
    </xf>
    <xf numFmtId="0" fontId="6" fillId="14" borderId="0" xfId="5" applyFont="1" applyFill="1" applyAlignment="1">
      <alignment vertical="center" wrapText="1"/>
    </xf>
    <xf numFmtId="0" fontId="4" fillId="10" borderId="0" xfId="5" applyAlignment="1">
      <alignment horizontal="right" wrapText="1"/>
    </xf>
    <xf numFmtId="0" fontId="4" fillId="15" borderId="0" xfId="5" applyFill="1" applyAlignment="1">
      <alignment horizontal="left" wrapText="1"/>
    </xf>
    <xf numFmtId="0" fontId="0" fillId="15" borderId="0" xfId="5" applyFont="1" applyFill="1" applyAlignment="1">
      <alignment horizontal="left" wrapText="1"/>
    </xf>
    <xf numFmtId="0" fontId="4" fillId="10" borderId="0" xfId="5" applyAlignment="1">
      <alignment wrapText="1"/>
    </xf>
    <xf numFmtId="0" fontId="4" fillId="10" borderId="0" xfId="5" applyAlignment="1">
      <alignment horizontal="left" wrapText="1"/>
    </xf>
    <xf numFmtId="0" fontId="2" fillId="31" borderId="0" xfId="5" applyFont="1" applyFill="1" applyAlignment="1">
      <alignment wrapText="1"/>
    </xf>
    <xf numFmtId="0" fontId="12" fillId="28" borderId="0" xfId="5" applyFont="1" applyFill="1" applyAlignment="1">
      <alignment horizontal="left" wrapText="1"/>
    </xf>
    <xf numFmtId="0" fontId="4" fillId="30" borderId="0" xfId="5" applyFill="1" applyAlignment="1">
      <alignment wrapText="1"/>
    </xf>
    <xf numFmtId="0" fontId="4" fillId="29" borderId="0" xfId="5" applyFill="1" applyAlignment="1">
      <alignment wrapText="1"/>
    </xf>
    <xf numFmtId="0" fontId="2" fillId="27" borderId="0" xfId="5" applyFont="1" applyFill="1" applyAlignment="1">
      <alignment wrapText="1"/>
    </xf>
    <xf numFmtId="0" fontId="3" fillId="22" borderId="0" xfId="5" applyFont="1" applyFill="1" applyAlignment="1">
      <alignment wrapText="1"/>
    </xf>
    <xf numFmtId="0" fontId="4" fillId="22" borderId="0" xfId="5" applyFill="1" applyAlignment="1">
      <alignment horizontal="left" wrapText="1"/>
    </xf>
    <xf numFmtId="0" fontId="4" fillId="26" borderId="0" xfId="5" applyFill="1" applyAlignment="1">
      <alignment wrapText="1"/>
    </xf>
    <xf numFmtId="0" fontId="4" fillId="25" borderId="0" xfId="5" applyFill="1" applyAlignment="1">
      <alignment wrapText="1"/>
    </xf>
    <xf numFmtId="0" fontId="4" fillId="24" borderId="0" xfId="5" applyFill="1" applyAlignment="1">
      <alignment wrapText="1"/>
    </xf>
    <xf numFmtId="0" fontId="4" fillId="23" borderId="0" xfId="5" applyFill="1" applyAlignment="1">
      <alignment wrapText="1"/>
    </xf>
    <xf numFmtId="0" fontId="16" fillId="15" borderId="1" xfId="4" applyFill="1" applyAlignment="1">
      <alignment wrapText="1"/>
    </xf>
    <xf numFmtId="0" fontId="16" fillId="15" borderId="1" xfId="4" applyFill="1" applyAlignment="1">
      <alignment horizontal="left" wrapText="1"/>
    </xf>
    <xf numFmtId="0" fontId="14" fillId="20" borderId="1" xfId="4" applyFont="1" applyFill="1" applyAlignment="1">
      <alignment horizontal="right" wrapText="1"/>
    </xf>
    <xf numFmtId="0" fontId="14" fillId="20" borderId="1" xfId="4" applyFont="1" applyFill="1" applyAlignment="1">
      <alignment horizontal="left" wrapText="1"/>
    </xf>
    <xf numFmtId="0" fontId="14" fillId="6" borderId="0" xfId="3" applyAlignment="1">
      <alignment wrapText="1"/>
    </xf>
    <xf numFmtId="0" fontId="15" fillId="0" borderId="0" xfId="1" applyFont="1" applyAlignment="1">
      <alignment wrapText="1"/>
    </xf>
    <xf numFmtId="0" fontId="14" fillId="6" borderId="0" xfId="3" applyAlignment="1">
      <alignment horizontal="left" wrapText="1"/>
    </xf>
    <xf numFmtId="0" fontId="13" fillId="20" borderId="0" xfId="1" applyFont="1" applyFill="1" applyAlignment="1">
      <alignment wrapText="1"/>
    </xf>
    <xf numFmtId="0" fontId="13" fillId="19" borderId="0" xfId="1" applyFont="1" applyFill="1" applyAlignment="1">
      <alignment wrapText="1"/>
    </xf>
    <xf numFmtId="0" fontId="13" fillId="18" borderId="0" xfId="1" applyFont="1" applyFill="1" applyAlignment="1">
      <alignment wrapText="1"/>
    </xf>
    <xf numFmtId="0" fontId="13" fillId="18" borderId="0" xfId="1" applyFont="1" applyFill="1" applyAlignment="1">
      <alignment horizontal="left" wrapText="1"/>
    </xf>
    <xf numFmtId="0" fontId="6" fillId="16" borderId="0" xfId="1" applyFont="1" applyFill="1" applyAlignment="1">
      <alignment horizontal="left" wrapText="1"/>
    </xf>
    <xf numFmtId="0" fontId="4" fillId="0" borderId="0" xfId="1" applyAlignment="1">
      <alignment vertical="center" wrapText="1"/>
    </xf>
    <xf numFmtId="0" fontId="6" fillId="0" borderId="0" xfId="1" applyFont="1" applyAlignment="1">
      <alignment horizontal="left" wrapText="1"/>
    </xf>
    <xf numFmtId="0" fontId="6" fillId="15" borderId="0" xfId="1" applyFont="1" applyFill="1" applyAlignment="1">
      <alignment horizontal="left" wrapText="1"/>
    </xf>
    <xf numFmtId="0" fontId="28" fillId="0" borderId="0" xfId="0" applyFont="1" applyAlignment="1">
      <alignment horizontal="justify" vertical="center"/>
    </xf>
    <xf numFmtId="0" fontId="0" fillId="14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14" borderId="0" xfId="0" applyFill="1" applyAlignment="1">
      <alignment vertical="center" wrapText="1"/>
    </xf>
    <xf numFmtId="0" fontId="8" fillId="0" borderId="0" xfId="0" applyFont="1" applyAlignment="1">
      <alignment horizontal="justify" vertical="center"/>
    </xf>
    <xf numFmtId="0" fontId="8" fillId="14" borderId="0" xfId="0" applyFont="1" applyFill="1" applyAlignment="1">
      <alignment horizontal="justify" vertical="center"/>
    </xf>
    <xf numFmtId="0" fontId="29" fillId="0" borderId="0" xfId="0" applyFont="1" applyAlignment="1">
      <alignment vertical="center" wrapText="1"/>
    </xf>
    <xf numFmtId="0" fontId="8" fillId="14" borderId="0" xfId="0" applyFont="1" applyFill="1" applyAlignment="1">
      <alignment horizontal="justify" vertical="center" wrapText="1"/>
    </xf>
    <xf numFmtId="0" fontId="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14" borderId="0" xfId="0" applyFill="1"/>
    <xf numFmtId="0" fontId="6" fillId="0" borderId="0" xfId="1" applyFont="1" applyAlignment="1">
      <alignment horizontal="center"/>
    </xf>
    <xf numFmtId="0" fontId="6" fillId="0" borderId="0" xfId="2" applyFont="1" applyFill="1" applyAlignment="1">
      <alignment horizontal="center" wrapText="1"/>
    </xf>
    <xf numFmtId="0" fontId="4" fillId="0" borderId="0" xfId="1" applyAlignment="1">
      <alignment horizontal="center" wrapText="1"/>
    </xf>
    <xf numFmtId="0" fontId="4" fillId="0" borderId="0" xfId="1" applyAlignment="1">
      <alignment horizontal="center"/>
    </xf>
    <xf numFmtId="0" fontId="4" fillId="0" borderId="0" xfId="1" applyAlignment="1">
      <alignment horizontal="center" vertical="center"/>
    </xf>
    <xf numFmtId="0" fontId="34" fillId="0" borderId="0" xfId="1" applyFont="1" applyAlignment="1">
      <alignment horizontal="center" vertical="center" wrapText="1"/>
    </xf>
    <xf numFmtId="0" fontId="34" fillId="0" borderId="0" xfId="2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1" applyFont="1" applyAlignment="1">
      <alignment horizontal="center" vertical="center"/>
    </xf>
    <xf numFmtId="0" fontId="34" fillId="0" borderId="0" xfId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4" fillId="0" borderId="0" xfId="2" applyFont="1" applyFill="1" applyAlignment="1">
      <alignment horizontal="center" wrapText="1"/>
    </xf>
    <xf numFmtId="0" fontId="34" fillId="0" borderId="0" xfId="1" applyFont="1" applyAlignment="1"/>
    <xf numFmtId="0" fontId="34" fillId="0" borderId="0" xfId="1" applyFont="1" applyAlignment="1">
      <alignment horizontal="center" wrapText="1"/>
    </xf>
    <xf numFmtId="0" fontId="43" fillId="0" borderId="0" xfId="0" applyFont="1" applyAlignment="1">
      <alignment wrapText="1"/>
    </xf>
    <xf numFmtId="0" fontId="43" fillId="0" borderId="0" xfId="1" applyFont="1" applyAlignment="1">
      <alignment vertical="center" wrapText="1"/>
    </xf>
    <xf numFmtId="0" fontId="45" fillId="0" borderId="0" xfId="1" applyFont="1" applyAlignment="1">
      <alignment horizontal="left" vertical="center" wrapText="1"/>
    </xf>
    <xf numFmtId="0" fontId="45" fillId="0" borderId="0" xfId="1" applyFont="1" applyAlignment="1">
      <alignment wrapText="1"/>
    </xf>
    <xf numFmtId="0" fontId="46" fillId="0" borderId="0" xfId="1" applyFont="1" applyAlignment="1">
      <alignment wrapText="1"/>
    </xf>
    <xf numFmtId="0" fontId="47" fillId="0" borderId="0" xfId="1" applyFont="1" applyAlignment="1">
      <alignment wrapText="1"/>
    </xf>
    <xf numFmtId="0" fontId="45" fillId="0" borderId="0" xfId="0" applyFont="1" applyAlignment="1">
      <alignment horizontal="left" vertical="center" wrapText="1"/>
    </xf>
    <xf numFmtId="0" fontId="48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horizontal="justify" vertical="center" wrapText="1"/>
    </xf>
    <xf numFmtId="0" fontId="49" fillId="0" borderId="0" xfId="0" applyFont="1" applyAlignment="1">
      <alignment wrapText="1"/>
    </xf>
    <xf numFmtId="0" fontId="49" fillId="0" borderId="0" xfId="0" applyFont="1" applyAlignment="1">
      <alignment vertical="center" wrapText="1"/>
    </xf>
    <xf numFmtId="0" fontId="48" fillId="0" borderId="0" xfId="0" applyFont="1" applyAlignment="1">
      <alignment horizontal="left" vertical="center" wrapText="1"/>
    </xf>
    <xf numFmtId="0" fontId="45" fillId="0" borderId="0" xfId="1" applyFont="1" applyAlignment="1">
      <alignment horizontal="center" wrapText="1"/>
    </xf>
    <xf numFmtId="0" fontId="45" fillId="0" borderId="0" xfId="2" applyFont="1" applyFill="1" applyAlignment="1">
      <alignment horizontal="center" wrapText="1"/>
    </xf>
    <xf numFmtId="0" fontId="34" fillId="0" borderId="0" xfId="1" applyFont="1" applyAlignment="1">
      <alignment wrapText="1"/>
    </xf>
    <xf numFmtId="0" fontId="34" fillId="0" borderId="0" xfId="2" applyFont="1" applyFill="1" applyAlignment="1">
      <alignment wrapText="1"/>
    </xf>
    <xf numFmtId="0" fontId="34" fillId="7" borderId="0" xfId="13" applyFont="1" applyAlignment="1">
      <alignment wrapText="1"/>
    </xf>
    <xf numFmtId="0" fontId="34" fillId="0" borderId="0" xfId="0" applyFont="1" applyAlignment="1">
      <alignment wrapText="1"/>
    </xf>
    <xf numFmtId="0" fontId="34" fillId="0" borderId="0" xfId="0" applyFont="1"/>
    <xf numFmtId="0" fontId="34" fillId="0" borderId="0" xfId="0" applyFont="1" applyAlignment="1">
      <alignment vertical="center" wrapText="1"/>
    </xf>
    <xf numFmtId="0" fontId="35" fillId="37" borderId="0" xfId="12" applyFont="1" applyFill="1" applyAlignment="1">
      <alignment wrapText="1"/>
    </xf>
    <xf numFmtId="0" fontId="36" fillId="37" borderId="0" xfId="12" applyFont="1" applyFill="1" applyAlignment="1">
      <alignment wrapText="1"/>
    </xf>
    <xf numFmtId="0" fontId="34" fillId="15" borderId="0" xfId="12" applyFont="1" applyFill="1" applyAlignment="1">
      <alignment wrapText="1"/>
    </xf>
    <xf numFmtId="0" fontId="34" fillId="12" borderId="0" xfId="11" applyFont="1" applyAlignment="1">
      <alignment wrapText="1"/>
    </xf>
    <xf numFmtId="0" fontId="34" fillId="9" borderId="0" xfId="10" applyFont="1" applyAlignment="1">
      <alignment wrapText="1"/>
    </xf>
    <xf numFmtId="0" fontId="34" fillId="36" borderId="0" xfId="1" applyFont="1" applyFill="1" applyAlignment="1">
      <alignment wrapText="1"/>
    </xf>
    <xf numFmtId="0" fontId="34" fillId="17" borderId="0" xfId="1" applyFont="1" applyFill="1" applyAlignment="1">
      <alignment wrapText="1"/>
    </xf>
    <xf numFmtId="0" fontId="34" fillId="35" borderId="0" xfId="1" applyFont="1" applyFill="1" applyAlignment="1">
      <alignment wrapText="1"/>
    </xf>
    <xf numFmtId="0" fontId="34" fillId="33" borderId="0" xfId="1" applyFont="1" applyFill="1" applyAlignment="1">
      <alignment wrapText="1"/>
    </xf>
    <xf numFmtId="0" fontId="38" fillId="4" borderId="0" xfId="6" applyFont="1" applyAlignment="1">
      <alignment wrapText="1"/>
    </xf>
    <xf numFmtId="0" fontId="34" fillId="13" borderId="0" xfId="8" applyFont="1" applyAlignment="1">
      <alignment wrapText="1"/>
    </xf>
    <xf numFmtId="0" fontId="34" fillId="8" borderId="0" xfId="7" applyFont="1" applyAlignment="1">
      <alignment wrapText="1"/>
    </xf>
    <xf numFmtId="0" fontId="34" fillId="32" borderId="0" xfId="7" applyFont="1" applyFill="1" applyAlignment="1">
      <alignment wrapText="1"/>
    </xf>
    <xf numFmtId="0" fontId="34" fillId="8" borderId="0" xfId="7" applyFont="1" applyBorder="1" applyAlignment="1">
      <alignment wrapText="1"/>
    </xf>
    <xf numFmtId="0" fontId="34" fillId="10" borderId="0" xfId="5" applyFont="1" applyAlignment="1">
      <alignment horizontal="right" wrapText="1"/>
    </xf>
    <xf numFmtId="0" fontId="34" fillId="10" borderId="0" xfId="5" applyFont="1" applyAlignment="1">
      <alignment wrapText="1"/>
    </xf>
    <xf numFmtId="0" fontId="39" fillId="31" borderId="0" xfId="5" applyFont="1" applyFill="1" applyAlignment="1">
      <alignment wrapText="1"/>
    </xf>
    <xf numFmtId="0" fontId="34" fillId="30" borderId="0" xfId="5" applyFont="1" applyFill="1" applyAlignment="1">
      <alignment wrapText="1"/>
    </xf>
    <xf numFmtId="0" fontId="34" fillId="29" borderId="0" xfId="5" applyFont="1" applyFill="1" applyAlignment="1">
      <alignment wrapText="1"/>
    </xf>
    <xf numFmtId="0" fontId="39" fillId="27" borderId="0" xfId="5" applyFont="1" applyFill="1" applyAlignment="1">
      <alignment wrapText="1"/>
    </xf>
    <xf numFmtId="0" fontId="34" fillId="26" borderId="0" xfId="5" applyFont="1" applyFill="1" applyAlignment="1">
      <alignment wrapText="1"/>
    </xf>
    <xf numFmtId="0" fontId="34" fillId="25" borderId="0" xfId="5" applyFont="1" applyFill="1" applyAlignment="1">
      <alignment wrapText="1"/>
    </xf>
    <xf numFmtId="0" fontId="34" fillId="24" borderId="0" xfId="5" applyFont="1" applyFill="1" applyAlignment="1">
      <alignment wrapText="1"/>
    </xf>
    <xf numFmtId="0" fontId="34" fillId="23" borderId="0" xfId="5" applyFont="1" applyFill="1" applyAlignment="1">
      <alignment wrapText="1"/>
    </xf>
    <xf numFmtId="0" fontId="40" fillId="15" borderId="1" xfId="4" applyFont="1" applyFill="1" applyAlignment="1">
      <alignment wrapText="1"/>
    </xf>
    <xf numFmtId="0" fontId="39" fillId="20" borderId="1" xfId="4" applyFont="1" applyFill="1" applyAlignment="1">
      <alignment horizontal="right" wrapText="1"/>
    </xf>
    <xf numFmtId="0" fontId="39" fillId="6" borderId="0" xfId="3" applyFont="1" applyAlignment="1">
      <alignment wrapText="1"/>
    </xf>
    <xf numFmtId="0" fontId="39" fillId="20" borderId="0" xfId="1" applyFont="1" applyFill="1" applyAlignment="1">
      <alignment wrapText="1"/>
    </xf>
    <xf numFmtId="0" fontId="39" fillId="19" borderId="0" xfId="1" applyFont="1" applyFill="1" applyAlignment="1">
      <alignment wrapText="1"/>
    </xf>
    <xf numFmtId="0" fontId="39" fillId="18" borderId="0" xfId="1" applyFont="1" applyFill="1" applyAlignment="1">
      <alignment wrapText="1"/>
    </xf>
    <xf numFmtId="0" fontId="34" fillId="14" borderId="0" xfId="6" applyFont="1" applyFill="1" applyAlignment="1">
      <alignment horizontal="center" vertical="center" wrapText="1"/>
    </xf>
    <xf numFmtId="0" fontId="50" fillId="14" borderId="0" xfId="1" applyFont="1" applyFill="1" applyAlignment="1">
      <alignment wrapText="1"/>
    </xf>
    <xf numFmtId="0" fontId="51" fillId="14" borderId="0" xfId="1" applyFont="1" applyFill="1" applyAlignment="1">
      <alignment wrapText="1"/>
    </xf>
    <xf numFmtId="0" fontId="50" fillId="14" borderId="0" xfId="0" applyFont="1" applyFill="1" applyAlignment="1">
      <alignment wrapText="1"/>
    </xf>
    <xf numFmtId="0" fontId="52" fillId="14" borderId="0" xfId="0" applyFont="1" applyFill="1" applyAlignment="1">
      <alignment wrapText="1"/>
    </xf>
    <xf numFmtId="0" fontId="34" fillId="0" borderId="0" xfId="0" applyFont="1" applyAlignment="1">
      <alignment horizontal="center" wrapText="1"/>
    </xf>
    <xf numFmtId="0" fontId="37" fillId="0" borderId="0" xfId="1" applyFont="1" applyAlignment="1">
      <alignment horizontal="center" wrapText="1"/>
    </xf>
    <xf numFmtId="0" fontId="34" fillId="14" borderId="0" xfId="1" applyFont="1" applyFill="1" applyAlignment="1">
      <alignment horizontal="center" wrapText="1"/>
    </xf>
    <xf numFmtId="0" fontId="34" fillId="14" borderId="0" xfId="0" applyFont="1" applyFill="1" applyAlignment="1">
      <alignment horizontal="center" wrapText="1"/>
    </xf>
    <xf numFmtId="0" fontId="45" fillId="0" borderId="0" xfId="14" applyFont="1" applyAlignment="1">
      <alignment horizontal="center" wrapText="1"/>
    </xf>
    <xf numFmtId="0" fontId="34" fillId="21" borderId="0" xfId="0" applyFont="1" applyFill="1" applyAlignment="1">
      <alignment horizontal="center" wrapText="1"/>
    </xf>
    <xf numFmtId="0" fontId="34" fillId="0" borderId="0" xfId="0" applyFont="1" applyAlignment="1">
      <alignment horizontal="center"/>
    </xf>
    <xf numFmtId="0" fontId="34" fillId="14" borderId="0" xfId="0" applyFont="1" applyFill="1" applyAlignment="1">
      <alignment horizontal="center" vertical="center" wrapText="1"/>
    </xf>
    <xf numFmtId="0" fontId="35" fillId="0" borderId="0" xfId="9" applyFont="1" applyFill="1" applyAlignment="1">
      <alignment horizontal="center" vertical="center" wrapText="1"/>
    </xf>
    <xf numFmtId="0" fontId="34" fillId="14" borderId="0" xfId="1" applyFont="1" applyFill="1" applyAlignment="1">
      <alignment horizontal="center" vertical="center" wrapText="1"/>
    </xf>
    <xf numFmtId="0" fontId="34" fillId="14" borderId="0" xfId="5" applyFont="1" applyFill="1" applyAlignment="1">
      <alignment horizontal="center" vertical="center" wrapText="1"/>
    </xf>
    <xf numFmtId="0" fontId="34" fillId="14" borderId="0" xfId="2" applyFont="1" applyFill="1" applyAlignment="1">
      <alignment horizontal="center" wrapText="1"/>
    </xf>
    <xf numFmtId="0" fontId="8" fillId="14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34" fillId="15" borderId="0" xfId="1" applyFont="1" applyFill="1" applyAlignment="1">
      <alignment horizontal="center" wrapText="1"/>
    </xf>
    <xf numFmtId="0" fontId="42" fillId="0" borderId="0" xfId="1" applyFont="1" applyAlignment="1">
      <alignment horizontal="center" wrapText="1"/>
    </xf>
    <xf numFmtId="0" fontId="41" fillId="0" borderId="0" xfId="1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34" fillId="34" borderId="0" xfId="1" applyFont="1" applyFill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34" fillId="0" borderId="0" xfId="2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34" fillId="14" borderId="0" xfId="2" applyFont="1" applyFill="1" applyAlignment="1">
      <alignment horizontal="center" vertical="center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34" fillId="0" borderId="0" xfId="1" applyFont="1">
      <alignment vertical="center"/>
    </xf>
    <xf numFmtId="0" fontId="34" fillId="0" borderId="0" xfId="2" applyFont="1" applyFill="1" applyAlignment="1"/>
    <xf numFmtId="0" fontId="34" fillId="15" borderId="0" xfId="1" applyFont="1" applyFill="1">
      <alignment vertical="center"/>
    </xf>
    <xf numFmtId="0" fontId="55" fillId="0" borderId="0" xfId="1" applyFont="1" applyAlignment="1"/>
    <xf numFmtId="0" fontId="55" fillId="0" borderId="0" xfId="0" applyFont="1" applyAlignment="1">
      <alignment wrapText="1"/>
    </xf>
    <xf numFmtId="0" fontId="55" fillId="0" borderId="0" xfId="1" applyFont="1" applyAlignment="1">
      <alignment wrapText="1"/>
    </xf>
    <xf numFmtId="0" fontId="55" fillId="0" borderId="0" xfId="1" applyFont="1" applyAlignment="1">
      <alignment horizontal="center"/>
    </xf>
    <xf numFmtId="0" fontId="55" fillId="0" borderId="0" xfId="2" applyFont="1" applyFill="1" applyAlignment="1">
      <alignment horizontal="center" wrapText="1"/>
    </xf>
    <xf numFmtId="0" fontId="55" fillId="0" borderId="0" xfId="1" applyFont="1" applyAlignment="1">
      <alignment horizontal="center" wrapText="1"/>
    </xf>
    <xf numFmtId="0" fontId="55" fillId="0" borderId="0" xfId="1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1" applyFont="1">
      <alignment vertical="center"/>
    </xf>
    <xf numFmtId="0" fontId="55" fillId="0" borderId="0" xfId="1" applyFont="1" applyAlignment="1">
      <alignment horizontal="left" vertical="center" wrapText="1"/>
    </xf>
    <xf numFmtId="0" fontId="55" fillId="0" borderId="0" xfId="14" applyFont="1" applyAlignment="1">
      <alignment horizontal="center" wrapText="1"/>
    </xf>
    <xf numFmtId="0" fontId="55" fillId="0" borderId="0" xfId="0" applyFont="1" applyAlignment="1">
      <alignment horizontal="center" wrapText="1"/>
    </xf>
    <xf numFmtId="0" fontId="55" fillId="0" borderId="0" xfId="1" applyFont="1" applyAlignment="1">
      <alignment vertical="center" wrapText="1"/>
    </xf>
    <xf numFmtId="0" fontId="55" fillId="7" borderId="0" xfId="13" applyFont="1" applyAlignment="1">
      <alignment wrapText="1"/>
    </xf>
    <xf numFmtId="0" fontId="57" fillId="38" borderId="0" xfId="1" applyFont="1" applyFill="1" applyAlignment="1">
      <alignment wrapText="1"/>
    </xf>
    <xf numFmtId="0" fontId="58" fillId="38" borderId="0" xfId="1" applyFont="1" applyFill="1" applyAlignment="1">
      <alignment wrapText="1"/>
    </xf>
    <xf numFmtId="0" fontId="55" fillId="0" borderId="0" xfId="1" applyFont="1" applyAlignment="1">
      <alignment horizontal="center" vertical="center" wrapText="1"/>
    </xf>
    <xf numFmtId="0" fontId="55" fillId="0" borderId="0" xfId="0" applyFont="1"/>
    <xf numFmtId="0" fontId="55" fillId="14" borderId="0" xfId="6" applyFont="1" applyFill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5" fillId="14" borderId="0" xfId="0" applyFont="1" applyFill="1" applyAlignment="1">
      <alignment horizontal="center" vertical="center"/>
    </xf>
    <xf numFmtId="0" fontId="55" fillId="14" borderId="0" xfId="1" applyFont="1" applyFill="1" applyAlignment="1">
      <alignment horizontal="center" wrapText="1"/>
    </xf>
    <xf numFmtId="0" fontId="55" fillId="0" borderId="0" xfId="0" applyFont="1" applyAlignment="1">
      <alignment horizontal="center" vertical="center" wrapText="1"/>
    </xf>
    <xf numFmtId="0" fontId="55" fillId="34" borderId="0" xfId="1" applyFont="1" applyFill="1" applyAlignment="1">
      <alignment horizontal="center" vertical="center" wrapText="1"/>
    </xf>
    <xf numFmtId="0" fontId="55" fillId="14" borderId="0" xfId="0" applyFont="1" applyFill="1" applyAlignment="1">
      <alignment horizontal="center" vertical="center" wrapText="1"/>
    </xf>
    <xf numFmtId="0" fontId="59" fillId="37" borderId="0" xfId="12" applyFont="1" applyFill="1" applyAlignment="1">
      <alignment wrapText="1"/>
    </xf>
    <xf numFmtId="0" fontId="60" fillId="37" borderId="0" xfId="12" applyFont="1" applyFill="1" applyAlignment="1">
      <alignment wrapText="1"/>
    </xf>
    <xf numFmtId="0" fontId="55" fillId="38" borderId="0" xfId="1" applyFont="1" applyFill="1" applyAlignment="1">
      <alignment wrapText="1"/>
    </xf>
    <xf numFmtId="0" fontId="55" fillId="21" borderId="0" xfId="0" applyFont="1" applyFill="1" applyAlignment="1">
      <alignment horizontal="center" wrapText="1"/>
    </xf>
    <xf numFmtId="0" fontId="55" fillId="15" borderId="0" xfId="1" applyFont="1" applyFill="1">
      <alignment vertical="center"/>
    </xf>
    <xf numFmtId="0" fontId="55" fillId="12" borderId="0" xfId="11" applyFont="1" applyAlignment="1">
      <alignment wrapText="1"/>
    </xf>
    <xf numFmtId="0" fontId="55" fillId="9" borderId="0" xfId="10" applyFont="1" applyAlignment="1">
      <alignment wrapText="1"/>
    </xf>
    <xf numFmtId="0" fontId="55" fillId="0" borderId="0" xfId="0" applyFont="1" applyAlignment="1">
      <alignment vertical="center" wrapText="1"/>
    </xf>
    <xf numFmtId="0" fontId="55" fillId="36" borderId="0" xfId="1" applyFont="1" applyFill="1" applyAlignment="1">
      <alignment wrapText="1"/>
    </xf>
    <xf numFmtId="0" fontId="55" fillId="17" borderId="0" xfId="1" applyFont="1" applyFill="1" applyAlignment="1">
      <alignment wrapText="1"/>
    </xf>
    <xf numFmtId="0" fontId="55" fillId="14" borderId="0" xfId="0" applyFont="1" applyFill="1" applyAlignment="1">
      <alignment horizontal="center" wrapText="1"/>
    </xf>
    <xf numFmtId="0" fontId="55" fillId="35" borderId="0" xfId="1" applyFont="1" applyFill="1" applyAlignment="1">
      <alignment wrapText="1"/>
    </xf>
    <xf numFmtId="0" fontId="55" fillId="0" borderId="0" xfId="0" applyFont="1" applyAlignment="1">
      <alignment horizontal="justify" vertical="center"/>
    </xf>
    <xf numFmtId="0" fontId="55" fillId="33" borderId="0" xfId="1" applyFont="1" applyFill="1" applyAlignment="1">
      <alignment wrapText="1"/>
    </xf>
    <xf numFmtId="0" fontId="55" fillId="14" borderId="0" xfId="1" applyFont="1" applyFill="1" applyAlignment="1">
      <alignment horizontal="center" vertical="center" wrapText="1"/>
    </xf>
    <xf numFmtId="0" fontId="55" fillId="14" borderId="0" xfId="0" applyFont="1" applyFill="1" applyAlignment="1">
      <alignment horizontal="center"/>
    </xf>
    <xf numFmtId="0" fontId="61" fillId="4" borderId="0" xfId="6" applyFont="1" applyAlignment="1">
      <alignment wrapText="1"/>
    </xf>
    <xf numFmtId="0" fontId="55" fillId="13" borderId="0" xfId="8" applyFont="1" applyAlignment="1">
      <alignment wrapText="1"/>
    </xf>
    <xf numFmtId="0" fontId="55" fillId="8" borderId="0" xfId="7" applyFont="1" applyAlignment="1">
      <alignment wrapText="1"/>
    </xf>
    <xf numFmtId="0" fontId="55" fillId="32" borderId="0" xfId="7" applyFont="1" applyFill="1" applyAlignment="1">
      <alignment wrapText="1"/>
    </xf>
    <xf numFmtId="0" fontId="62" fillId="38" borderId="0" xfId="1" applyFont="1" applyFill="1" applyAlignment="1">
      <alignment wrapText="1"/>
    </xf>
    <xf numFmtId="0" fontId="55" fillId="14" borderId="0" xfId="2" applyFont="1" applyFill="1" applyAlignment="1">
      <alignment horizontal="center" wrapText="1"/>
    </xf>
    <xf numFmtId="0" fontId="59" fillId="38" borderId="0" xfId="1" applyFont="1" applyFill="1" applyAlignment="1">
      <alignment wrapText="1"/>
    </xf>
    <xf numFmtId="0" fontId="55" fillId="8" borderId="0" xfId="7" applyFont="1" applyBorder="1" applyAlignment="1">
      <alignment wrapText="1"/>
    </xf>
    <xf numFmtId="0" fontId="55" fillId="14" borderId="0" xfId="5" applyFont="1" applyFill="1" applyAlignment="1">
      <alignment horizontal="center" vertical="center" wrapText="1"/>
    </xf>
    <xf numFmtId="0" fontId="55" fillId="10" borderId="0" xfId="5" applyFont="1" applyAlignment="1">
      <alignment horizontal="right" wrapText="1"/>
    </xf>
    <xf numFmtId="0" fontId="55" fillId="15" borderId="0" xfId="1" applyFont="1" applyFill="1" applyAlignment="1">
      <alignment horizontal="center" wrapText="1"/>
    </xf>
    <xf numFmtId="0" fontId="55" fillId="10" borderId="0" xfId="5" applyFont="1" applyAlignment="1">
      <alignment wrapText="1"/>
    </xf>
    <xf numFmtId="0" fontId="55" fillId="0" borderId="0" xfId="2" applyFont="1" applyFill="1" applyAlignment="1">
      <alignment horizontal="center" vertical="center" wrapText="1"/>
    </xf>
    <xf numFmtId="0" fontId="63" fillId="31" borderId="0" xfId="5" applyFont="1" applyFill="1" applyAlignment="1">
      <alignment wrapText="1"/>
    </xf>
    <xf numFmtId="0" fontId="55" fillId="30" borderId="0" xfId="5" applyFont="1" applyFill="1" applyAlignment="1">
      <alignment wrapText="1"/>
    </xf>
    <xf numFmtId="0" fontId="55" fillId="29" borderId="0" xfId="5" applyFont="1" applyFill="1" applyAlignment="1">
      <alignment wrapText="1"/>
    </xf>
    <xf numFmtId="0" fontId="63" fillId="27" borderId="0" xfId="5" applyFont="1" applyFill="1" applyAlignment="1">
      <alignment wrapText="1"/>
    </xf>
    <xf numFmtId="0" fontId="57" fillId="38" borderId="0" xfId="0" applyFont="1" applyFill="1" applyAlignment="1">
      <alignment wrapText="1"/>
    </xf>
    <xf numFmtId="0" fontId="55" fillId="14" borderId="0" xfId="2" applyFont="1" applyFill="1" applyAlignment="1">
      <alignment horizontal="center" vertical="center"/>
    </xf>
    <xf numFmtId="0" fontId="55" fillId="26" borderId="0" xfId="5" applyFont="1" applyFill="1" applyAlignment="1">
      <alignment wrapText="1"/>
    </xf>
    <xf numFmtId="0" fontId="55" fillId="25" borderId="0" xfId="5" applyFont="1" applyFill="1" applyAlignment="1">
      <alignment wrapText="1"/>
    </xf>
    <xf numFmtId="0" fontId="55" fillId="24" borderId="0" xfId="5" applyFont="1" applyFill="1" applyAlignment="1">
      <alignment wrapText="1"/>
    </xf>
    <xf numFmtId="0" fontId="55" fillId="23" borderId="0" xfId="5" applyFont="1" applyFill="1" applyAlignment="1">
      <alignment wrapText="1"/>
    </xf>
    <xf numFmtId="0" fontId="55" fillId="38" borderId="0" xfId="0" applyFont="1" applyFill="1" applyAlignment="1">
      <alignment horizontal="left" vertical="center" wrapText="1"/>
    </xf>
    <xf numFmtId="0" fontId="64" fillId="15" borderId="1" xfId="4" applyFont="1" applyFill="1" applyAlignment="1">
      <alignment wrapText="1"/>
    </xf>
    <xf numFmtId="0" fontId="66" fillId="0" borderId="0" xfId="0" applyFont="1" applyAlignment="1">
      <alignment wrapText="1"/>
    </xf>
    <xf numFmtId="0" fontId="63" fillId="20" borderId="1" xfId="4" applyFont="1" applyFill="1" applyAlignment="1">
      <alignment horizontal="right" wrapText="1"/>
    </xf>
    <xf numFmtId="0" fontId="63" fillId="6" borderId="0" xfId="3" applyFont="1" applyAlignment="1">
      <alignment wrapText="1"/>
    </xf>
    <xf numFmtId="0" fontId="63" fillId="20" borderId="0" xfId="1" applyFont="1" applyFill="1" applyAlignment="1">
      <alignment wrapText="1"/>
    </xf>
    <xf numFmtId="0" fontId="63" fillId="19" borderId="0" xfId="1" applyFont="1" applyFill="1" applyAlignment="1">
      <alignment wrapText="1"/>
    </xf>
    <xf numFmtId="0" fontId="63" fillId="18" borderId="0" xfId="1" applyFont="1" applyFill="1" applyAlignment="1">
      <alignment wrapText="1"/>
    </xf>
    <xf numFmtId="0" fontId="66" fillId="38" borderId="0" xfId="0" applyFont="1" applyFill="1" applyAlignment="1">
      <alignment wrapText="1"/>
    </xf>
    <xf numFmtId="0" fontId="66" fillId="38" borderId="0" xfId="0" applyFont="1" applyFill="1" applyAlignment="1">
      <alignment horizontal="left" vertical="center" wrapText="1"/>
    </xf>
    <xf numFmtId="0" fontId="69" fillId="0" borderId="0" xfId="1" applyFont="1" applyAlignment="1">
      <alignment horizontal="left" vertical="center" wrapText="1"/>
    </xf>
    <xf numFmtId="0" fontId="46" fillId="0" borderId="0" xfId="1" applyFont="1" applyAlignment="1">
      <alignment horizontal="center" wrapText="1"/>
    </xf>
    <xf numFmtId="0" fontId="46" fillId="0" borderId="0" xfId="2" applyFont="1" applyFill="1" applyAlignment="1">
      <alignment horizontal="center" wrapText="1"/>
    </xf>
    <xf numFmtId="0" fontId="46" fillId="0" borderId="0" xfId="14" applyFont="1" applyAlignment="1">
      <alignment horizontal="center" wrapText="1"/>
    </xf>
    <xf numFmtId="0" fontId="71" fillId="0" borderId="0" xfId="1" applyFont="1" applyAlignment="1">
      <alignment horizontal="left" vertical="center" wrapText="1"/>
    </xf>
    <xf numFmtId="0" fontId="54" fillId="0" borderId="0" xfId="1" applyFont="1" applyAlignment="1">
      <alignment horizontal="left" vertical="center" wrapText="1"/>
    </xf>
    <xf numFmtId="0" fontId="72" fillId="0" borderId="0" xfId="1" applyFont="1" applyAlignment="1">
      <alignment horizontal="left" vertical="center" wrapText="1"/>
    </xf>
    <xf numFmtId="0" fontId="73" fillId="0" borderId="0" xfId="2" applyFont="1" applyFill="1" applyAlignment="1">
      <alignment horizontal="center" wrapText="1"/>
    </xf>
    <xf numFmtId="0" fontId="73" fillId="0" borderId="0" xfId="1" applyFont="1" applyAlignment="1">
      <alignment horizontal="center" wrapText="1"/>
    </xf>
    <xf numFmtId="0" fontId="73" fillId="0" borderId="0" xfId="0" applyFont="1" applyAlignment="1">
      <alignment horizontal="center" wrapText="1"/>
    </xf>
    <xf numFmtId="0" fontId="74" fillId="0" borderId="0" xfId="1" applyFont="1" applyAlignment="1">
      <alignment horizontal="left" vertical="center" wrapText="1"/>
    </xf>
    <xf numFmtId="0" fontId="55" fillId="15" borderId="0" xfId="1" applyFont="1" applyFill="1" applyAlignment="1">
      <alignment wrapText="1"/>
    </xf>
    <xf numFmtId="0" fontId="12" fillId="0" borderId="0" xfId="12" applyFont="1" applyFill="1" applyAlignment="1">
      <alignment wrapText="1"/>
    </xf>
    <xf numFmtId="0" fontId="12" fillId="0" borderId="0" xfId="1" applyFont="1">
      <alignment vertical="center"/>
    </xf>
    <xf numFmtId="0" fontId="55" fillId="0" borderId="0" xfId="0" applyFont="1" applyAlignment="1">
      <alignment horizontal="left" wrapText="1"/>
    </xf>
    <xf numFmtId="0" fontId="57" fillId="38" borderId="0" xfId="1" applyFont="1" applyFill="1" applyAlignment="1">
      <alignment horizontal="left" wrapText="1"/>
    </xf>
    <xf numFmtId="0" fontId="58" fillId="38" borderId="0" xfId="1" applyFont="1" applyFill="1" applyAlignment="1">
      <alignment horizontal="left" wrapText="1"/>
    </xf>
    <xf numFmtId="0" fontId="55" fillId="0" borderId="0" xfId="1" applyFont="1" applyAlignment="1">
      <alignment horizontal="left" wrapText="1"/>
    </xf>
    <xf numFmtId="0" fontId="55" fillId="38" borderId="0" xfId="1" applyFont="1" applyFill="1" applyAlignment="1">
      <alignment horizontal="left" wrapText="1"/>
    </xf>
    <xf numFmtId="0" fontId="55" fillId="0" borderId="0" xfId="2" applyFont="1" applyFill="1" applyAlignment="1">
      <alignment horizontal="left" wrapText="1"/>
    </xf>
    <xf numFmtId="0" fontId="57" fillId="39" borderId="0" xfId="1" applyFont="1" applyFill="1" applyAlignment="1">
      <alignment horizontal="left" wrapText="1"/>
    </xf>
    <xf numFmtId="0" fontId="58" fillId="0" borderId="0" xfId="1" applyFont="1" applyAlignment="1">
      <alignment horizontal="left" wrapText="1"/>
    </xf>
    <xf numFmtId="0" fontId="62" fillId="38" borderId="0" xfId="1" applyFont="1" applyFill="1" applyAlignment="1">
      <alignment horizontal="left" wrapText="1"/>
    </xf>
    <xf numFmtId="0" fontId="59" fillId="38" borderId="0" xfId="1" applyFont="1" applyFill="1" applyAlignment="1">
      <alignment horizontal="left" wrapText="1"/>
    </xf>
    <xf numFmtId="0" fontId="62" fillId="39" borderId="0" xfId="1" applyFont="1" applyFill="1" applyAlignment="1">
      <alignment horizontal="left" wrapText="1"/>
    </xf>
    <xf numFmtId="0" fontId="57" fillId="38" borderId="0" xfId="0" applyFont="1" applyFill="1" applyAlignment="1">
      <alignment horizontal="left" wrapText="1"/>
    </xf>
    <xf numFmtId="0" fontId="65" fillId="39" borderId="0" xfId="0" applyFont="1" applyFill="1" applyAlignment="1">
      <alignment horizontal="left" wrapText="1"/>
    </xf>
    <xf numFmtId="0" fontId="58" fillId="0" borderId="0" xfId="0" applyFont="1" applyAlignment="1">
      <alignment horizontal="left" wrapText="1"/>
    </xf>
    <xf numFmtId="0" fontId="66" fillId="0" borderId="0" xfId="0" applyFont="1" applyAlignment="1">
      <alignment horizontal="left" wrapText="1"/>
    </xf>
    <xf numFmtId="0" fontId="66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wrapText="1"/>
    </xf>
    <xf numFmtId="0" fontId="66" fillId="38" borderId="0" xfId="0" applyFont="1" applyFill="1" applyAlignment="1">
      <alignment horizontal="left" wrapText="1"/>
    </xf>
    <xf numFmtId="0" fontId="67" fillId="0" borderId="0" xfId="0" applyFont="1" applyAlignment="1">
      <alignment horizontal="left" vertical="center" wrapText="1"/>
    </xf>
  </cellXfs>
  <cellStyles count="15">
    <cellStyle name="20% - 着色 2 2" xfId="7" xr:uid="{8280D921-4FA8-48CB-AC09-95369D40349A}"/>
    <cellStyle name="20% - 着色 3 2" xfId="10" xr:uid="{6D225DB3-6DBC-4475-A5D8-9C99A905CC2B}"/>
    <cellStyle name="20% - 着色 4 2" xfId="5" xr:uid="{0510C23A-F0E9-4841-B864-E4CF194A1634}"/>
    <cellStyle name="20% - 着色 5 2" xfId="11" xr:uid="{4969A5AB-A04D-4917-8A14-1A39DD79A37C}"/>
    <cellStyle name="40% - 着色 1 2" xfId="13" xr:uid="{14C71038-082B-45BA-B361-8033FC3D61FF}"/>
    <cellStyle name="40% - 着色 6 2" xfId="8" xr:uid="{5A5A69E5-B1E6-481C-B189-422A67E35572}"/>
    <cellStyle name="60% - 着色 4 2" xfId="9" xr:uid="{9B7E816D-0389-47B3-8600-2B01B4453DAF}"/>
    <cellStyle name="差 2" xfId="12" xr:uid="{56CAF7BD-BBFA-4032-A5A7-5463455CCEEB}"/>
    <cellStyle name="常规" xfId="0" builtinId="0"/>
    <cellStyle name="常规 2" xfId="1" xr:uid="{1BA23C02-A882-4DB7-89C4-A60CFB1DBBD1}"/>
    <cellStyle name="常规 2 2" xfId="14" xr:uid="{DDA60AA4-0E0A-47BE-B3D6-FF24A66DC7B7}"/>
    <cellStyle name="好 2" xfId="2" xr:uid="{2E3D9FB0-0C29-4412-8846-3E236C099167}"/>
    <cellStyle name="适中 2" xfId="6" xr:uid="{EDC3FD6E-73FC-4BF3-A7E9-8EFF969F2F60}"/>
    <cellStyle name="输入 2" xfId="4" xr:uid="{E997E6E8-E31B-4650-8B8D-8F12D20CE4BB}"/>
    <cellStyle name="着色 1 2" xfId="3" xr:uid="{9F9C1A3D-F633-4BEC-9DCB-BFE53FC41BF7}"/>
  </cellStyles>
  <dxfs count="56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aike.baidu.com/item/%E6%80%A7%E6%AC%B2%E5%87%8F%E9%80%80/435290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aike.baidu.com/item/%E6%80%A7%E6%AC%B2%E5%87%8F%E9%80%80/435290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aike.baidu.com/item/%E6%80%A7%E6%AC%B2%E5%87%8F%E9%80%80/43529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aike.baidu.com/item/%E6%80%A7%E6%AC%B2%E5%87%8F%E9%80%80/435290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451C-8ECF-4B23-819A-1186EE3896FD}">
  <dimension ref="A1:DJ90"/>
  <sheetViews>
    <sheetView topLeftCell="B1" zoomScale="55" zoomScaleNormal="55" workbookViewId="0">
      <pane xSplit="1" ySplit="2" topLeftCell="C53" activePane="bottomRight" state="frozen"/>
      <selection activeCell="B1" sqref="B1"/>
      <selection pane="topRight" activeCell="C1" sqref="C1"/>
      <selection pane="bottomLeft" activeCell="B3" sqref="B3"/>
      <selection pane="bottomRight" activeCell="B82" sqref="B82"/>
    </sheetView>
  </sheetViews>
  <sheetFormatPr defaultColWidth="8.9140625" defaultRowHeight="14.5" x14ac:dyDescent="0.3"/>
  <cols>
    <col min="1" max="1" width="0" style="2" hidden="1" customWidth="1"/>
    <col min="2" max="2" width="46.25" style="6" customWidth="1"/>
    <col min="3" max="3" width="57.6640625" style="6" customWidth="1"/>
    <col min="4" max="4" width="35.08203125" style="2" customWidth="1"/>
    <col min="5" max="5" width="37.9140625" style="5" customWidth="1"/>
    <col min="6" max="6" width="35.33203125" style="5" customWidth="1"/>
    <col min="7" max="7" width="38.08203125" style="2" customWidth="1"/>
    <col min="8" max="8" width="37.58203125" style="2" customWidth="1"/>
    <col min="9" max="9" width="38.08203125" style="2" customWidth="1"/>
    <col min="10" max="10" width="48" style="5" customWidth="1"/>
    <col min="11" max="11" width="17.4140625" style="2" customWidth="1"/>
    <col min="12" max="15" width="33.08203125" style="2" customWidth="1"/>
    <col min="16" max="16" width="62.4140625" style="2" customWidth="1"/>
    <col min="17" max="21" width="35.6640625" style="2" customWidth="1"/>
    <col min="22" max="22" width="40.9140625" style="4" customWidth="1"/>
    <col min="23" max="23" width="36.6640625" style="2" customWidth="1"/>
    <col min="24" max="24" width="45" style="5" customWidth="1"/>
    <col min="25" max="25" width="35.6640625" style="2" customWidth="1"/>
    <col min="26" max="26" width="25.08203125" style="3" customWidth="1"/>
    <col min="27" max="27" width="33.58203125" style="5" customWidth="1"/>
    <col min="28" max="28" width="32.58203125" style="5" customWidth="1"/>
    <col min="29" max="29" width="53.58203125" style="5" customWidth="1"/>
    <col min="30" max="30" width="50.4140625" style="1" customWidth="1"/>
    <col min="31" max="31" width="30.75" style="1" customWidth="1"/>
    <col min="32" max="16384" width="8.9140625" style="1"/>
  </cols>
  <sheetData>
    <row r="1" spans="1:31" ht="28.5" x14ac:dyDescent="0.3">
      <c r="A1" s="6" t="s">
        <v>226</v>
      </c>
      <c r="B1" s="6" t="s">
        <v>225</v>
      </c>
      <c r="D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3"/>
      <c r="W1" s="6"/>
      <c r="Y1" s="6"/>
    </row>
    <row r="2" spans="1:31" ht="30" x14ac:dyDescent="0.35">
      <c r="A2" s="6"/>
      <c r="B2" s="6" t="s">
        <v>224</v>
      </c>
      <c r="C2" s="6" t="s">
        <v>223</v>
      </c>
      <c r="D2" s="6" t="s">
        <v>220</v>
      </c>
      <c r="E2" s="5" t="s">
        <v>215</v>
      </c>
      <c r="F2" s="5" t="s">
        <v>237</v>
      </c>
      <c r="G2" s="6" t="s">
        <v>221</v>
      </c>
      <c r="H2" s="6" t="s">
        <v>256</v>
      </c>
      <c r="I2" s="6" t="s">
        <v>272</v>
      </c>
      <c r="J2" s="5" t="s">
        <v>213</v>
      </c>
      <c r="K2" s="16" t="s">
        <v>218</v>
      </c>
      <c r="L2" s="16" t="s">
        <v>291</v>
      </c>
      <c r="M2" s="16" t="s">
        <v>300</v>
      </c>
      <c r="N2" s="16" t="s">
        <v>308</v>
      </c>
      <c r="O2" s="16" t="s">
        <v>309</v>
      </c>
      <c r="P2" s="6" t="s">
        <v>222</v>
      </c>
      <c r="Q2" s="6" t="s">
        <v>217</v>
      </c>
      <c r="R2" s="6" t="s">
        <v>336</v>
      </c>
      <c r="S2" s="6" t="s">
        <v>351</v>
      </c>
      <c r="T2" s="6" t="s">
        <v>664</v>
      </c>
      <c r="U2" s="6" t="s">
        <v>387</v>
      </c>
      <c r="V2" s="6" t="s">
        <v>211</v>
      </c>
      <c r="W2" s="16" t="s">
        <v>219</v>
      </c>
      <c r="X2" s="5" t="s">
        <v>236</v>
      </c>
      <c r="Y2" s="6" t="s">
        <v>398</v>
      </c>
      <c r="Z2" s="13" t="s">
        <v>210</v>
      </c>
      <c r="AA2" s="17" t="s">
        <v>214</v>
      </c>
      <c r="AB2" s="5" t="s">
        <v>212</v>
      </c>
      <c r="AC2" s="5" t="s">
        <v>216</v>
      </c>
      <c r="AD2" s="14" t="s">
        <v>424</v>
      </c>
      <c r="AE2" s="82" t="s">
        <v>425</v>
      </c>
    </row>
    <row r="3" spans="1:31" ht="28.5" x14ac:dyDescent="0.3">
      <c r="A3" s="18">
        <v>2</v>
      </c>
      <c r="B3" s="19" t="s">
        <v>462</v>
      </c>
      <c r="C3" s="20" t="s">
        <v>209</v>
      </c>
      <c r="D3" s="6"/>
      <c r="F3" s="14"/>
      <c r="G3" s="6"/>
      <c r="H3" s="6"/>
      <c r="I3" s="6"/>
      <c r="K3" s="6"/>
      <c r="L3" s="6"/>
      <c r="M3" s="6"/>
      <c r="N3" s="14" t="s">
        <v>323</v>
      </c>
      <c r="O3" s="14" t="s">
        <v>323</v>
      </c>
      <c r="P3" s="6"/>
      <c r="Q3" s="6"/>
      <c r="R3" s="6"/>
      <c r="S3" s="6"/>
      <c r="T3" s="6"/>
      <c r="U3" s="6"/>
      <c r="V3" s="3"/>
      <c r="W3" s="6"/>
      <c r="Y3" s="94" t="s">
        <v>399</v>
      </c>
      <c r="AB3" s="5" t="s">
        <v>208</v>
      </c>
      <c r="AD3" t="s">
        <v>434</v>
      </c>
    </row>
    <row r="4" spans="1:31" x14ac:dyDescent="0.3">
      <c r="A4" s="18">
        <v>3</v>
      </c>
      <c r="B4" s="19" t="s">
        <v>207</v>
      </c>
      <c r="C4" s="19"/>
      <c r="D4" s="21" t="s">
        <v>206</v>
      </c>
      <c r="G4" s="6"/>
      <c r="H4" s="6"/>
      <c r="I4" s="5"/>
      <c r="K4" s="6" t="s">
        <v>205</v>
      </c>
      <c r="L4" s="6"/>
      <c r="M4" s="6" t="s">
        <v>304</v>
      </c>
      <c r="N4" s="6"/>
      <c r="O4" s="6"/>
      <c r="P4" s="22"/>
      <c r="Q4" s="6"/>
      <c r="R4" s="6"/>
      <c r="S4" s="6"/>
      <c r="T4" t="s">
        <v>383</v>
      </c>
      <c r="U4"/>
      <c r="V4" s="3" t="s">
        <v>204</v>
      </c>
      <c r="W4" s="6"/>
      <c r="Y4"/>
    </row>
    <row r="5" spans="1:31" ht="28.5" x14ac:dyDescent="0.3">
      <c r="A5" s="18">
        <v>4</v>
      </c>
      <c r="B5" s="19" t="s">
        <v>203</v>
      </c>
      <c r="C5" s="19"/>
      <c r="D5" s="6"/>
      <c r="F5" s="15" t="s">
        <v>242</v>
      </c>
      <c r="G5" s="6"/>
      <c r="H5" s="85" t="s">
        <v>268</v>
      </c>
      <c r="I5" s="85"/>
      <c r="K5" s="6"/>
      <c r="L5" s="14" t="s">
        <v>293</v>
      </c>
      <c r="M5" s="6"/>
      <c r="N5" s="6"/>
      <c r="O5" s="6"/>
      <c r="P5" s="6"/>
      <c r="Q5" s="6" t="s">
        <v>231</v>
      </c>
      <c r="R5" s="6"/>
      <c r="S5" s="6"/>
      <c r="T5" s="6"/>
      <c r="U5" s="91" t="s">
        <v>389</v>
      </c>
      <c r="V5" s="3"/>
      <c r="W5" s="6" t="s">
        <v>202</v>
      </c>
      <c r="X5" s="12" t="s">
        <v>200</v>
      </c>
      <c r="Y5"/>
      <c r="AA5" s="5" t="s">
        <v>199</v>
      </c>
      <c r="AC5" s="5" t="s">
        <v>201</v>
      </c>
      <c r="AE5" s="14" t="s">
        <v>442</v>
      </c>
    </row>
    <row r="6" spans="1:31" ht="36.9" customHeight="1" x14ac:dyDescent="0.3">
      <c r="A6" s="18">
        <v>7</v>
      </c>
      <c r="B6" s="19" t="s">
        <v>198</v>
      </c>
      <c r="C6" s="19"/>
      <c r="D6" s="6"/>
      <c r="F6" s="14" t="s">
        <v>253</v>
      </c>
      <c r="G6" s="6" t="s">
        <v>197</v>
      </c>
      <c r="H6" s="85" t="s">
        <v>269</v>
      </c>
      <c r="I6" s="85"/>
      <c r="K6" s="6"/>
      <c r="L6" s="6"/>
      <c r="M6" s="6"/>
      <c r="N6" s="6"/>
      <c r="O6" s="6"/>
      <c r="P6" s="6"/>
      <c r="Q6" s="6"/>
      <c r="R6" s="88" t="s">
        <v>347</v>
      </c>
      <c r="S6" t="s">
        <v>356</v>
      </c>
      <c r="T6"/>
      <c r="U6" s="92" t="s">
        <v>395</v>
      </c>
      <c r="V6" s="3" t="s">
        <v>195</v>
      </c>
      <c r="W6" s="6"/>
      <c r="Y6" s="92"/>
      <c r="Z6" s="87" t="s">
        <v>149</v>
      </c>
      <c r="AB6" s="5" t="s">
        <v>196</v>
      </c>
    </row>
    <row r="7" spans="1:31" ht="56" x14ac:dyDescent="0.3">
      <c r="A7" s="18">
        <v>6</v>
      </c>
      <c r="B7" s="19" t="s">
        <v>458</v>
      </c>
      <c r="C7" s="19"/>
      <c r="D7" s="6"/>
      <c r="F7" s="15" t="s">
        <v>251</v>
      </c>
      <c r="G7" s="6" t="s">
        <v>193</v>
      </c>
      <c r="H7" s="6"/>
      <c r="I7" s="14" t="s">
        <v>275</v>
      </c>
      <c r="K7" s="6" t="s">
        <v>192</v>
      </c>
      <c r="L7" s="6"/>
      <c r="M7" t="s">
        <v>301</v>
      </c>
      <c r="N7" s="6"/>
      <c r="O7" s="6"/>
      <c r="P7" s="6" t="s">
        <v>194</v>
      </c>
      <c r="Q7" s="6"/>
      <c r="R7" s="89" t="s">
        <v>600</v>
      </c>
      <c r="S7" t="s">
        <v>368</v>
      </c>
      <c r="T7"/>
      <c r="U7" s="91" t="s">
        <v>394</v>
      </c>
      <c r="V7" s="3" t="s">
        <v>190</v>
      </c>
      <c r="W7" s="6"/>
      <c r="X7" s="5" t="s">
        <v>191</v>
      </c>
      <c r="Y7" s="92"/>
    </row>
    <row r="8" spans="1:31" ht="28" x14ac:dyDescent="0.3">
      <c r="A8" s="23">
        <v>8</v>
      </c>
      <c r="B8" s="24" t="s">
        <v>455</v>
      </c>
      <c r="C8" s="24"/>
      <c r="D8" s="21" t="s">
        <v>187</v>
      </c>
      <c r="F8" s="14" t="s">
        <v>238</v>
      </c>
      <c r="G8" s="6" t="s">
        <v>189</v>
      </c>
      <c r="H8" s="14" t="s">
        <v>270</v>
      </c>
      <c r="I8" s="14"/>
      <c r="K8" s="6"/>
      <c r="L8" s="6"/>
      <c r="M8" s="6"/>
      <c r="N8" s="6"/>
      <c r="O8" s="6"/>
      <c r="P8" s="89" t="s">
        <v>476</v>
      </c>
      <c r="Q8" s="6"/>
      <c r="R8" s="88" t="s">
        <v>337</v>
      </c>
      <c r="S8" t="s">
        <v>354</v>
      </c>
      <c r="T8"/>
      <c r="U8" s="90" t="s">
        <v>388</v>
      </c>
      <c r="V8" s="3"/>
      <c r="W8" s="6"/>
      <c r="Y8" s="94" t="s">
        <v>408</v>
      </c>
      <c r="AA8" s="5" t="s">
        <v>181</v>
      </c>
      <c r="AC8" s="5" t="s">
        <v>188</v>
      </c>
    </row>
    <row r="9" spans="1:31" ht="67.25" customHeight="1" x14ac:dyDescent="0.3">
      <c r="A9" s="25">
        <v>11</v>
      </c>
      <c r="B9" s="26" t="s">
        <v>456</v>
      </c>
      <c r="C9" s="27"/>
      <c r="G9" s="6"/>
      <c r="H9" s="6"/>
      <c r="I9" s="6"/>
      <c r="K9" s="6" t="s">
        <v>186</v>
      </c>
      <c r="L9" s="87" t="s">
        <v>299</v>
      </c>
      <c r="M9" s="6"/>
      <c r="N9" s="6"/>
      <c r="O9" s="6"/>
      <c r="P9" s="6"/>
      <c r="Q9" s="6"/>
      <c r="R9" s="6"/>
      <c r="S9" s="6"/>
      <c r="T9" s="6"/>
      <c r="U9" s="6"/>
      <c r="V9" s="3"/>
      <c r="W9" s="6"/>
      <c r="Y9" s="94" t="s">
        <v>407</v>
      </c>
      <c r="AA9" s="5" t="s">
        <v>185</v>
      </c>
      <c r="AD9" t="s">
        <v>429</v>
      </c>
    </row>
    <row r="10" spans="1:31" s="285" customFormat="1" x14ac:dyDescent="0.3">
      <c r="A10" s="284">
        <v>9</v>
      </c>
      <c r="B10" s="28" t="s">
        <v>457</v>
      </c>
      <c r="C10" s="28" t="s">
        <v>271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14" t="s">
        <v>317</v>
      </c>
      <c r="O10" s="14" t="s">
        <v>330</v>
      </c>
      <c r="P10" s="5"/>
      <c r="Q10" s="5"/>
      <c r="R10" s="5"/>
      <c r="S10" s="5"/>
      <c r="T10" s="5"/>
      <c r="U10" s="5"/>
      <c r="V10" s="5"/>
      <c r="W10" s="5" t="s">
        <v>479</v>
      </c>
      <c r="X10" s="5"/>
      <c r="Y10" s="94" t="s">
        <v>409</v>
      </c>
      <c r="Z10" s="5"/>
      <c r="AA10" s="5"/>
      <c r="AB10" s="5"/>
      <c r="AC10" s="5"/>
      <c r="AD10" s="7"/>
      <c r="AE10" s="7"/>
    </row>
    <row r="11" spans="1:31" ht="56.5" x14ac:dyDescent="0.3">
      <c r="A11" s="29">
        <v>10</v>
      </c>
      <c r="B11" s="30" t="s">
        <v>184</v>
      </c>
      <c r="C11" s="31"/>
      <c r="D11" s="6"/>
      <c r="E11" s="5" t="s">
        <v>182</v>
      </c>
      <c r="G11" s="6" t="s">
        <v>183</v>
      </c>
      <c r="H11" s="6"/>
      <c r="I11" s="5" t="s">
        <v>273</v>
      </c>
      <c r="K11" s="6"/>
      <c r="L11" s="6"/>
      <c r="M11" s="6"/>
      <c r="N11" s="14" t="s">
        <v>324</v>
      </c>
      <c r="O11" s="14" t="s">
        <v>324</v>
      </c>
      <c r="P11" s="6"/>
      <c r="Q11" s="6" t="s">
        <v>230</v>
      </c>
      <c r="R11" s="6"/>
      <c r="S11" t="s">
        <v>367</v>
      </c>
      <c r="T11"/>
      <c r="U11"/>
      <c r="V11" s="3"/>
      <c r="W11" s="6"/>
      <c r="Y11"/>
    </row>
    <row r="12" spans="1:31" ht="84" x14ac:dyDescent="0.3">
      <c r="A12" s="29">
        <v>56</v>
      </c>
      <c r="B12" s="29" t="s">
        <v>180</v>
      </c>
      <c r="C12" s="29"/>
      <c r="D12" s="6"/>
      <c r="G12" s="6" t="s">
        <v>178</v>
      </c>
      <c r="H12" s="6"/>
      <c r="I12" s="14" t="s">
        <v>289</v>
      </c>
      <c r="K12" s="6"/>
      <c r="L12" s="6"/>
      <c r="M12" s="6"/>
      <c r="N12" s="6"/>
      <c r="O12" s="6"/>
      <c r="P12" s="22" t="s">
        <v>179</v>
      </c>
      <c r="Q12" s="6"/>
      <c r="R12" s="6"/>
      <c r="S12" s="6"/>
      <c r="T12" s="6"/>
      <c r="U12" s="6"/>
      <c r="V12" s="3"/>
      <c r="W12" s="6"/>
      <c r="Y12" s="6"/>
    </row>
    <row r="13" spans="1:31" x14ac:dyDescent="0.3">
      <c r="A13" s="32">
        <v>1</v>
      </c>
      <c r="B13" s="32" t="s">
        <v>447</v>
      </c>
      <c r="C13" s="32"/>
      <c r="D13" s="21" t="s">
        <v>177</v>
      </c>
      <c r="G13" s="6"/>
      <c r="H13" s="6"/>
      <c r="I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3"/>
      <c r="W13" s="6" t="s">
        <v>176</v>
      </c>
      <c r="Y13" s="95" t="s">
        <v>417</v>
      </c>
    </row>
    <row r="14" spans="1:31" x14ac:dyDescent="0.3">
      <c r="A14" s="32">
        <v>13</v>
      </c>
      <c r="B14" s="32" t="s">
        <v>175</v>
      </c>
      <c r="C14" s="32"/>
      <c r="D14" s="6"/>
      <c r="F14" s="1" t="s">
        <v>246</v>
      </c>
      <c r="G14" s="6"/>
      <c r="H14" s="6"/>
      <c r="I14" s="6"/>
      <c r="K14" s="6"/>
      <c r="L14" s="6"/>
      <c r="M14" s="6"/>
      <c r="N14" s="14" t="s">
        <v>318</v>
      </c>
      <c r="O14" s="14" t="s">
        <v>331</v>
      </c>
      <c r="P14" s="6"/>
      <c r="Q14" s="6"/>
      <c r="R14" s="88" t="s">
        <v>344</v>
      </c>
      <c r="S14" s="88"/>
      <c r="T14" s="88"/>
      <c r="U14" s="90" t="s">
        <v>391</v>
      </c>
      <c r="V14" s="3"/>
      <c r="W14" s="6"/>
      <c r="Y14" s="90"/>
    </row>
    <row r="15" spans="1:31" ht="70" x14ac:dyDescent="0.3">
      <c r="A15" s="33" t="s">
        <v>174</v>
      </c>
      <c r="B15" s="33" t="s">
        <v>463</v>
      </c>
      <c r="C15" s="33" t="s">
        <v>234</v>
      </c>
      <c r="D15" s="21" t="s">
        <v>173</v>
      </c>
      <c r="G15" s="34"/>
      <c r="H15" s="34"/>
      <c r="I15" s="14" t="s">
        <v>280</v>
      </c>
      <c r="K15" s="6" t="s">
        <v>171</v>
      </c>
      <c r="L15" s="6"/>
      <c r="M15" s="6"/>
      <c r="N15" s="14" t="s">
        <v>321</v>
      </c>
      <c r="O15" s="14" t="s">
        <v>334</v>
      </c>
      <c r="P15" s="35"/>
      <c r="Q15" s="6"/>
      <c r="R15" s="6"/>
      <c r="S15" t="s">
        <v>361</v>
      </c>
      <c r="T15"/>
      <c r="U15"/>
      <c r="V15" s="3"/>
      <c r="W15" s="6" t="s">
        <v>172</v>
      </c>
      <c r="Y15"/>
    </row>
    <row r="16" spans="1:31" x14ac:dyDescent="0.3">
      <c r="A16" s="36">
        <v>89</v>
      </c>
      <c r="B16" s="36" t="s">
        <v>31</v>
      </c>
      <c r="C16" s="36" t="s">
        <v>235</v>
      </c>
      <c r="D16" s="6"/>
      <c r="G16" s="6"/>
      <c r="H16" s="6"/>
      <c r="I16" s="6"/>
      <c r="K16" s="6"/>
      <c r="L16" s="6"/>
      <c r="M16" s="6"/>
      <c r="N16" s="6"/>
      <c r="O16" s="6"/>
      <c r="P16" s="22" t="s">
        <v>30</v>
      </c>
      <c r="Q16" s="6"/>
      <c r="R16" s="6"/>
      <c r="S16" s="6"/>
      <c r="T16" s="6"/>
      <c r="U16" s="6"/>
      <c r="V16" s="3"/>
      <c r="W16" s="6"/>
      <c r="Y16" s="6"/>
    </row>
    <row r="17" spans="1:31" ht="28.5" x14ac:dyDescent="0.3">
      <c r="A17" s="32">
        <v>16</v>
      </c>
      <c r="B17" s="32" t="s">
        <v>170</v>
      </c>
      <c r="C17" s="32"/>
      <c r="D17" s="6"/>
      <c r="E17" s="5" t="s">
        <v>165</v>
      </c>
      <c r="F17" s="14" t="s">
        <v>249</v>
      </c>
      <c r="G17" s="6" t="s">
        <v>168</v>
      </c>
      <c r="H17" s="6" t="s">
        <v>570</v>
      </c>
      <c r="I17" s="6"/>
      <c r="J17" s="85"/>
      <c r="K17" s="6"/>
      <c r="L17" s="6"/>
      <c r="M17" s="6"/>
      <c r="N17" s="14" t="s">
        <v>310</v>
      </c>
      <c r="O17" s="86" t="s">
        <v>335</v>
      </c>
      <c r="P17" s="22" t="s">
        <v>169</v>
      </c>
      <c r="Q17" s="5" t="s">
        <v>167</v>
      </c>
      <c r="R17" s="88" t="s">
        <v>345</v>
      </c>
      <c r="S17" t="s">
        <v>357</v>
      </c>
      <c r="T17" t="s">
        <v>382</v>
      </c>
      <c r="U17" s="90" t="s">
        <v>393</v>
      </c>
      <c r="V17" s="3"/>
      <c r="W17" s="6"/>
      <c r="Y17" s="90"/>
      <c r="AB17" s="5" t="s">
        <v>164</v>
      </c>
      <c r="AC17" s="5" t="s">
        <v>166</v>
      </c>
    </row>
    <row r="18" spans="1:31" x14ac:dyDescent="0.3">
      <c r="A18" s="37" t="s">
        <v>163</v>
      </c>
      <c r="B18" s="38" t="s">
        <v>543</v>
      </c>
      <c r="C18" s="38"/>
      <c r="D18" s="21"/>
      <c r="E18" s="5" t="s">
        <v>162</v>
      </c>
      <c r="G18" s="6"/>
      <c r="H18" s="6"/>
      <c r="I18" s="6"/>
      <c r="J18" s="5" t="s">
        <v>161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3"/>
      <c r="W18" s="6"/>
      <c r="Y18" s="6"/>
    </row>
    <row r="19" spans="1:31" ht="84.75" customHeight="1" x14ac:dyDescent="0.3">
      <c r="A19" s="32">
        <v>20</v>
      </c>
      <c r="B19" s="32" t="s">
        <v>160</v>
      </c>
      <c r="C19" s="32"/>
      <c r="D19" s="21"/>
      <c r="F19" s="14" t="s">
        <v>245</v>
      </c>
      <c r="G19" s="6"/>
      <c r="H19" s="85" t="s">
        <v>265</v>
      </c>
      <c r="I19" s="5"/>
      <c r="K19" s="6" t="s">
        <v>159</v>
      </c>
      <c r="L19" s="14" t="s">
        <v>297</v>
      </c>
      <c r="M19" s="14"/>
      <c r="N19" s="14"/>
      <c r="O19" s="14"/>
      <c r="P19" s="22"/>
      <c r="Q19" s="6"/>
      <c r="R19" s="6"/>
      <c r="S19" s="88" t="s">
        <v>366</v>
      </c>
      <c r="T19" s="88"/>
      <c r="U19" s="88"/>
      <c r="V19" s="3"/>
      <c r="W19" s="6"/>
      <c r="Y19" s="88"/>
    </row>
    <row r="20" spans="1:31" ht="71.400000000000006" customHeight="1" x14ac:dyDescent="0.3">
      <c r="A20" s="32">
        <v>21</v>
      </c>
      <c r="B20" s="32" t="s">
        <v>473</v>
      </c>
      <c r="C20" s="32"/>
      <c r="D20" s="21" t="s">
        <v>157</v>
      </c>
      <c r="E20" s="5" t="s">
        <v>152</v>
      </c>
      <c r="F20" s="1" t="s">
        <v>244</v>
      </c>
      <c r="G20" s="6" t="s">
        <v>158</v>
      </c>
      <c r="H20" s="85" t="s">
        <v>257</v>
      </c>
      <c r="I20" s="86" t="s">
        <v>274</v>
      </c>
      <c r="J20" s="5" t="s">
        <v>150</v>
      </c>
      <c r="K20" s="6" t="s">
        <v>155</v>
      </c>
      <c r="L20" s="6"/>
      <c r="M20" t="s">
        <v>303</v>
      </c>
      <c r="N20"/>
      <c r="O20"/>
      <c r="P20" s="22" t="s">
        <v>475</v>
      </c>
      <c r="Q20" s="5" t="s">
        <v>154</v>
      </c>
      <c r="R20" s="89" t="s">
        <v>670</v>
      </c>
      <c r="S20" t="s">
        <v>477</v>
      </c>
      <c r="T20" s="85" t="s">
        <v>385</v>
      </c>
      <c r="U20" s="90" t="s">
        <v>390</v>
      </c>
      <c r="V20" s="3"/>
      <c r="W20" s="6" t="s">
        <v>156</v>
      </c>
      <c r="X20" s="5" t="s">
        <v>151</v>
      </c>
      <c r="Y20" s="95" t="s">
        <v>422</v>
      </c>
      <c r="Z20" s="87" t="s">
        <v>149</v>
      </c>
      <c r="AC20" s="5" t="s">
        <v>153</v>
      </c>
      <c r="AD20" t="s">
        <v>427</v>
      </c>
      <c r="AE20" s="14" t="s">
        <v>443</v>
      </c>
    </row>
    <row r="21" spans="1:31" x14ac:dyDescent="0.3">
      <c r="A21" s="32">
        <v>22</v>
      </c>
      <c r="B21" s="32" t="s">
        <v>148</v>
      </c>
      <c r="C21" s="32"/>
      <c r="D21" s="21"/>
      <c r="G21" s="6"/>
      <c r="H21" s="6"/>
      <c r="I21" s="6"/>
      <c r="K21" s="6"/>
      <c r="L21" s="6"/>
      <c r="M21" s="6"/>
      <c r="N21" s="6"/>
      <c r="O21" s="6"/>
      <c r="P21" s="39"/>
      <c r="Q21" s="6"/>
      <c r="R21" s="6"/>
      <c r="S21" s="6"/>
      <c r="T21" s="88"/>
      <c r="U21" s="88"/>
      <c r="V21" s="3"/>
      <c r="W21" s="6"/>
      <c r="Y21" s="88"/>
      <c r="AE21" t="s">
        <v>444</v>
      </c>
    </row>
    <row r="22" spans="1:31" ht="75" customHeight="1" x14ac:dyDescent="0.3">
      <c r="A22" s="40">
        <v>24</v>
      </c>
      <c r="B22" s="40" t="s">
        <v>147</v>
      </c>
      <c r="C22" s="40"/>
      <c r="D22" s="6"/>
      <c r="E22" s="5" t="s">
        <v>145</v>
      </c>
      <c r="G22" s="6" t="s">
        <v>146</v>
      </c>
      <c r="H22" s="6"/>
      <c r="I22" s="12" t="s">
        <v>593</v>
      </c>
      <c r="J22" s="5" t="s">
        <v>144</v>
      </c>
      <c r="K22" s="12" t="s">
        <v>594</v>
      </c>
      <c r="L22" s="6"/>
      <c r="M22" s="6"/>
      <c r="N22" s="14" t="s">
        <v>319</v>
      </c>
      <c r="O22" s="14" t="s">
        <v>319</v>
      </c>
      <c r="P22" s="43" t="s">
        <v>596</v>
      </c>
      <c r="Q22" s="6"/>
      <c r="R22" s="6"/>
      <c r="S22" s="89" t="s">
        <v>478</v>
      </c>
      <c r="T22" t="s">
        <v>381</v>
      </c>
      <c r="U22"/>
      <c r="V22" s="3"/>
      <c r="W22" s="6"/>
      <c r="Y22" s="94" t="s">
        <v>400</v>
      </c>
      <c r="AC22" s="96" t="s">
        <v>565</v>
      </c>
      <c r="AD22" s="96" t="s">
        <v>601</v>
      </c>
    </row>
    <row r="23" spans="1:31" x14ac:dyDescent="0.3">
      <c r="A23" s="41">
        <v>25</v>
      </c>
      <c r="B23" s="42" t="s">
        <v>459</v>
      </c>
      <c r="C23" s="42" t="s">
        <v>143</v>
      </c>
      <c r="D23" s="6"/>
      <c r="F23" s="14" t="s">
        <v>240</v>
      </c>
      <c r="G23" s="6"/>
      <c r="H23" s="85" t="s">
        <v>264</v>
      </c>
      <c r="I23" s="85"/>
      <c r="K23" s="6"/>
      <c r="L23" s="6"/>
      <c r="M23" s="6"/>
      <c r="N23" s="14" t="s">
        <v>316</v>
      </c>
      <c r="O23" s="14" t="s">
        <v>316</v>
      </c>
      <c r="P23" s="22" t="s">
        <v>561</v>
      </c>
      <c r="Q23" s="5" t="s">
        <v>142</v>
      </c>
      <c r="R23" s="5"/>
      <c r="S23" t="s">
        <v>364</v>
      </c>
      <c r="T23"/>
      <c r="U23"/>
      <c r="V23" s="3"/>
      <c r="W23" s="6"/>
      <c r="Y23" s="95" t="s">
        <v>423</v>
      </c>
      <c r="AC23" s="5" t="s">
        <v>141</v>
      </c>
    </row>
    <row r="24" spans="1:31" ht="56" x14ac:dyDescent="0.3">
      <c r="A24" s="41">
        <v>26</v>
      </c>
      <c r="B24" s="42" t="s">
        <v>140</v>
      </c>
      <c r="C24" s="42"/>
      <c r="D24" s="6"/>
      <c r="G24" s="12" t="s">
        <v>138</v>
      </c>
      <c r="H24" s="6"/>
      <c r="I24" s="14" t="s">
        <v>277</v>
      </c>
      <c r="K24" s="6" t="s">
        <v>137</v>
      </c>
      <c r="L24" s="6"/>
      <c r="M24" t="s">
        <v>306</v>
      </c>
      <c r="N24"/>
      <c r="O24"/>
      <c r="P24" s="22" t="s">
        <v>139</v>
      </c>
      <c r="Q24" s="6"/>
      <c r="R24" s="88" t="s">
        <v>348</v>
      </c>
      <c r="S24" s="88"/>
      <c r="T24" s="88"/>
      <c r="U24" s="88"/>
      <c r="V24" s="3"/>
      <c r="W24" s="6"/>
      <c r="Y24" s="88"/>
      <c r="AC24" s="5" t="s">
        <v>136</v>
      </c>
    </row>
    <row r="25" spans="1:31" ht="70" x14ac:dyDescent="0.3">
      <c r="A25" s="41">
        <v>36</v>
      </c>
      <c r="B25" s="41" t="s">
        <v>135</v>
      </c>
      <c r="C25" s="41"/>
      <c r="D25" s="6"/>
      <c r="G25" s="6" t="s">
        <v>134</v>
      </c>
      <c r="H25" s="6"/>
      <c r="I25" s="14" t="s">
        <v>283</v>
      </c>
      <c r="K25" s="6"/>
      <c r="L25" s="6"/>
      <c r="M25" s="6"/>
      <c r="N25" s="6"/>
      <c r="O25" s="6"/>
      <c r="P25" s="22" t="s">
        <v>229</v>
      </c>
      <c r="Q25" s="6"/>
      <c r="R25" s="6"/>
      <c r="S25" s="6"/>
      <c r="T25" s="6"/>
      <c r="U25" s="6"/>
      <c r="V25" s="3"/>
      <c r="W25" s="6"/>
      <c r="Y25" s="6"/>
    </row>
    <row r="26" spans="1:31" x14ac:dyDescent="0.3">
      <c r="A26" s="44">
        <v>29</v>
      </c>
      <c r="B26" s="45" t="s">
        <v>133</v>
      </c>
      <c r="C26" s="45"/>
      <c r="D26" s="6"/>
      <c r="F26" s="14" t="s">
        <v>254</v>
      </c>
      <c r="G26" s="6" t="s">
        <v>131</v>
      </c>
      <c r="H26" s="6"/>
      <c r="I26" s="6"/>
      <c r="K26" s="6"/>
      <c r="L26" s="6"/>
      <c r="M26" s="6"/>
      <c r="N26" s="14" t="s">
        <v>315</v>
      </c>
      <c r="O26" s="14" t="s">
        <v>315</v>
      </c>
      <c r="P26" s="22" t="s">
        <v>132</v>
      </c>
      <c r="Q26" s="6"/>
      <c r="R26" s="88" t="s">
        <v>350</v>
      </c>
      <c r="S26" s="88"/>
      <c r="T26" s="88"/>
      <c r="U26" s="88"/>
      <c r="V26" s="3"/>
      <c r="W26" s="6"/>
      <c r="Y26" s="88"/>
      <c r="AC26" s="5" t="s">
        <v>130</v>
      </c>
      <c r="AE26" s="14" t="s">
        <v>445</v>
      </c>
    </row>
    <row r="27" spans="1:31" ht="42" x14ac:dyDescent="0.3">
      <c r="A27" s="44">
        <v>33</v>
      </c>
      <c r="B27" s="45" t="s">
        <v>129</v>
      </c>
      <c r="C27" s="45"/>
      <c r="D27" s="15" t="s">
        <v>592</v>
      </c>
      <c r="E27" s="5" t="s">
        <v>126</v>
      </c>
      <c r="G27" s="6"/>
      <c r="H27" s="6"/>
      <c r="I27" s="6"/>
      <c r="K27" s="6" t="s">
        <v>127</v>
      </c>
      <c r="L27" s="6"/>
      <c r="M27" t="s">
        <v>307</v>
      </c>
      <c r="N27"/>
      <c r="O27"/>
      <c r="P27" s="6"/>
      <c r="Q27" s="6"/>
      <c r="R27" s="6"/>
      <c r="S27" s="6"/>
      <c r="T27" s="85" t="s">
        <v>386</v>
      </c>
      <c r="U27" s="85"/>
      <c r="V27" s="3" t="s">
        <v>124</v>
      </c>
      <c r="W27" s="6" t="s">
        <v>128</v>
      </c>
      <c r="Y27" s="85"/>
      <c r="AA27" s="5" t="s">
        <v>125</v>
      </c>
    </row>
    <row r="28" spans="1:31" ht="22.4" customHeight="1" x14ac:dyDescent="0.3">
      <c r="A28" s="46">
        <v>35</v>
      </c>
      <c r="B28" s="47" t="s">
        <v>123</v>
      </c>
      <c r="C28" s="47"/>
      <c r="D28" s="21" t="s">
        <v>122</v>
      </c>
      <c r="G28" s="6"/>
      <c r="H28" s="6"/>
      <c r="I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3"/>
      <c r="W28" s="6"/>
      <c r="Y28" s="95" t="s">
        <v>421</v>
      </c>
      <c r="AE28" s="14" t="s">
        <v>437</v>
      </c>
    </row>
    <row r="29" spans="1:31" ht="86" customHeight="1" x14ac:dyDescent="0.3">
      <c r="A29" s="48" t="s">
        <v>121</v>
      </c>
      <c r="B29" s="49" t="s">
        <v>448</v>
      </c>
      <c r="C29" s="49"/>
      <c r="D29" s="6"/>
      <c r="E29" s="15" t="s">
        <v>243</v>
      </c>
      <c r="F29" s="15" t="s">
        <v>255</v>
      </c>
      <c r="G29" s="6"/>
      <c r="H29" s="85" t="s">
        <v>262</v>
      </c>
      <c r="I29" s="14" t="s">
        <v>284</v>
      </c>
      <c r="J29" s="5" t="s">
        <v>119</v>
      </c>
      <c r="K29" s="6" t="s">
        <v>120</v>
      </c>
      <c r="L29" s="6"/>
      <c r="M29" t="s">
        <v>302</v>
      </c>
      <c r="N29"/>
      <c r="O29"/>
      <c r="P29" s="6"/>
      <c r="Q29" s="53" t="s">
        <v>563</v>
      </c>
      <c r="R29" s="88" t="s">
        <v>343</v>
      </c>
      <c r="S29" t="s">
        <v>376</v>
      </c>
      <c r="T29"/>
      <c r="U29" s="93" t="s">
        <v>397</v>
      </c>
      <c r="V29" s="3"/>
      <c r="W29" s="6"/>
      <c r="Y29" s="6"/>
    </row>
    <row r="30" spans="1:31" ht="80.5" customHeight="1" x14ac:dyDescent="0.3">
      <c r="A30" s="46">
        <v>54</v>
      </c>
      <c r="B30" s="47" t="s">
        <v>118</v>
      </c>
      <c r="C30" s="47"/>
      <c r="D30" s="21" t="s">
        <v>117</v>
      </c>
      <c r="E30" s="5" t="s">
        <v>114</v>
      </c>
      <c r="G30" s="6"/>
      <c r="H30" s="6"/>
      <c r="I30" s="14" t="s">
        <v>290</v>
      </c>
      <c r="K30" s="6" t="s">
        <v>115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3"/>
      <c r="W30" s="6" t="s">
        <v>116</v>
      </c>
      <c r="Y30" s="94" t="s">
        <v>412</v>
      </c>
    </row>
    <row r="31" spans="1:31" ht="28" x14ac:dyDescent="0.3">
      <c r="A31" s="46"/>
      <c r="B31" s="47" t="s">
        <v>469</v>
      </c>
      <c r="C31" s="47" t="s">
        <v>470</v>
      </c>
      <c r="D31" s="21" t="s">
        <v>113</v>
      </c>
      <c r="G31" s="6"/>
      <c r="H31" s="12" t="s">
        <v>574</v>
      </c>
      <c r="I31" s="85"/>
      <c r="K31" s="6"/>
      <c r="L31" s="14" t="s">
        <v>292</v>
      </c>
      <c r="M31" s="14"/>
      <c r="N31" s="14"/>
      <c r="O31" s="14"/>
      <c r="P31" s="6"/>
      <c r="Q31" s="5" t="s">
        <v>111</v>
      </c>
      <c r="R31" s="5"/>
      <c r="S31" t="s">
        <v>372</v>
      </c>
      <c r="T31"/>
      <c r="U31"/>
      <c r="V31" s="3"/>
      <c r="W31" s="6" t="s">
        <v>112</v>
      </c>
      <c r="Y31"/>
      <c r="AA31" s="5" t="s">
        <v>232</v>
      </c>
      <c r="AE31" s="14" t="s">
        <v>439</v>
      </c>
    </row>
    <row r="32" spans="1:31" ht="83" customHeight="1" x14ac:dyDescent="0.3">
      <c r="A32" s="46">
        <v>41</v>
      </c>
      <c r="B32" s="50" t="s">
        <v>471</v>
      </c>
      <c r="C32" s="50"/>
      <c r="D32" s="21" t="s">
        <v>109</v>
      </c>
      <c r="E32" s="5" t="s">
        <v>105</v>
      </c>
      <c r="G32" s="6"/>
      <c r="H32" s="6"/>
      <c r="I32" s="14" t="s">
        <v>281</v>
      </c>
      <c r="K32" s="6" t="s">
        <v>107</v>
      </c>
      <c r="L32" s="6"/>
      <c r="M32" t="s">
        <v>305</v>
      </c>
      <c r="N32"/>
      <c r="O32"/>
      <c r="P32" s="6" t="s">
        <v>110</v>
      </c>
      <c r="Q32" s="6"/>
      <c r="R32" s="6"/>
      <c r="S32" t="s">
        <v>370</v>
      </c>
      <c r="T32" s="85" t="s">
        <v>384</v>
      </c>
      <c r="U32" s="85"/>
      <c r="V32" s="3"/>
      <c r="W32" s="6" t="s">
        <v>108</v>
      </c>
      <c r="X32" s="12" t="s">
        <v>104</v>
      </c>
      <c r="Y32" s="94" t="s">
        <v>405</v>
      </c>
      <c r="AA32" s="5" t="s">
        <v>562</v>
      </c>
      <c r="AC32" s="5" t="s">
        <v>106</v>
      </c>
      <c r="AD32" t="s">
        <v>431</v>
      </c>
    </row>
    <row r="33" spans="1:30" x14ac:dyDescent="0.3">
      <c r="A33" s="46">
        <v>42</v>
      </c>
      <c r="B33" s="50" t="s">
        <v>472</v>
      </c>
      <c r="C33" s="50"/>
      <c r="D33" s="21"/>
      <c r="G33" s="6"/>
      <c r="H33" s="6"/>
      <c r="I33" s="6"/>
      <c r="K33" s="6"/>
      <c r="L33" s="6"/>
      <c r="M33" s="6"/>
      <c r="N33" s="6"/>
      <c r="O33" s="6"/>
      <c r="P33" s="22" t="s">
        <v>103</v>
      </c>
      <c r="Q33" s="6"/>
      <c r="R33" s="6"/>
      <c r="S33" t="s">
        <v>379</v>
      </c>
      <c r="T33"/>
      <c r="U33"/>
      <c r="V33" s="3"/>
      <c r="W33" s="6"/>
      <c r="Y33"/>
    </row>
    <row r="34" spans="1:30" ht="27" x14ac:dyDescent="0.3">
      <c r="A34" s="46">
        <v>59</v>
      </c>
      <c r="B34" s="46" t="s">
        <v>102</v>
      </c>
      <c r="C34" s="46"/>
      <c r="D34" s="21" t="s">
        <v>101</v>
      </c>
      <c r="G34" s="6"/>
      <c r="H34" s="6"/>
      <c r="I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3"/>
      <c r="W34" s="6" t="s">
        <v>100</v>
      </c>
      <c r="Y34" s="6"/>
    </row>
    <row r="35" spans="1:30" x14ac:dyDescent="0.3">
      <c r="A35" s="52">
        <v>62</v>
      </c>
      <c r="B35" s="52" t="s">
        <v>99</v>
      </c>
      <c r="C35" s="52"/>
      <c r="D35" s="6"/>
      <c r="F35" s="14" t="s">
        <v>248</v>
      </c>
      <c r="G35" s="6"/>
      <c r="H35" s="6"/>
      <c r="I35" s="6"/>
      <c r="K35" s="6"/>
      <c r="L35" s="6"/>
      <c r="M35" s="6"/>
      <c r="N35" s="6"/>
      <c r="O35" s="6"/>
      <c r="P35" s="22" t="s">
        <v>98</v>
      </c>
      <c r="Q35" s="5" t="s">
        <v>97</v>
      </c>
      <c r="R35" s="88" t="s">
        <v>342</v>
      </c>
      <c r="S35" s="88"/>
      <c r="T35" s="88"/>
      <c r="U35" s="88"/>
      <c r="V35" s="3"/>
      <c r="W35" s="6"/>
      <c r="Y35" s="88"/>
    </row>
    <row r="36" spans="1:30" ht="61.25" customHeight="1" x14ac:dyDescent="0.3">
      <c r="A36" s="52">
        <v>63</v>
      </c>
      <c r="B36" s="52" t="s">
        <v>96</v>
      </c>
      <c r="C36" s="52"/>
      <c r="D36" s="6"/>
      <c r="G36" s="6"/>
      <c r="H36" s="6"/>
      <c r="I36" s="6"/>
      <c r="K36" s="6"/>
      <c r="L36" s="87" t="s">
        <v>299</v>
      </c>
      <c r="M36" s="6"/>
      <c r="N36" s="6"/>
      <c r="O36" s="6"/>
      <c r="P36" s="53" t="s">
        <v>597</v>
      </c>
      <c r="Q36" s="6"/>
      <c r="R36" s="6"/>
      <c r="S36" t="s">
        <v>378</v>
      </c>
      <c r="T36"/>
      <c r="U36"/>
      <c r="V36" s="3"/>
      <c r="W36" s="6" t="s">
        <v>95</v>
      </c>
      <c r="Y36" s="3" t="s">
        <v>406</v>
      </c>
    </row>
    <row r="37" spans="1:30" ht="28.5" x14ac:dyDescent="0.3">
      <c r="A37" s="54">
        <v>69</v>
      </c>
      <c r="B37" s="55" t="s">
        <v>464</v>
      </c>
      <c r="C37" s="56" t="s">
        <v>94</v>
      </c>
      <c r="D37" s="21"/>
      <c r="G37" s="6"/>
      <c r="H37" s="6"/>
      <c r="I37" s="6"/>
      <c r="K37" s="6"/>
      <c r="L37" s="6"/>
      <c r="M37" s="6"/>
      <c r="N37" s="6"/>
      <c r="O37" s="6"/>
      <c r="P37" s="6"/>
      <c r="Q37" s="6"/>
      <c r="R37" s="6"/>
      <c r="S37" t="s">
        <v>377</v>
      </c>
      <c r="T37"/>
      <c r="U37"/>
      <c r="V37" s="3"/>
      <c r="W37" s="6"/>
      <c r="Y37" s="94" t="s">
        <v>411</v>
      </c>
      <c r="AA37" s="5" t="s">
        <v>93</v>
      </c>
    </row>
    <row r="38" spans="1:30" x14ac:dyDescent="0.3">
      <c r="A38" s="54">
        <v>70</v>
      </c>
      <c r="B38" s="55" t="s">
        <v>591</v>
      </c>
      <c r="C38" s="55"/>
      <c r="D38" s="21" t="s">
        <v>92</v>
      </c>
      <c r="G38" s="6"/>
      <c r="H38" s="85" t="s">
        <v>261</v>
      </c>
      <c r="I38" s="8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3"/>
      <c r="W38" s="6" t="s">
        <v>91</v>
      </c>
      <c r="Y38" s="94" t="s">
        <v>410</v>
      </c>
    </row>
    <row r="39" spans="1:30" x14ac:dyDescent="0.3">
      <c r="A39" s="54"/>
      <c r="B39" s="55" t="s">
        <v>446</v>
      </c>
      <c r="C39" s="55"/>
      <c r="D39" s="21" t="s">
        <v>90</v>
      </c>
      <c r="G39" s="6"/>
      <c r="H39" s="6"/>
      <c r="I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3"/>
      <c r="W39" s="5" t="s">
        <v>89</v>
      </c>
      <c r="Y39" s="6"/>
    </row>
    <row r="40" spans="1:30" x14ac:dyDescent="0.3">
      <c r="A40" s="54"/>
      <c r="B40" s="55" t="s">
        <v>474</v>
      </c>
      <c r="C40" s="55"/>
      <c r="D40" s="21"/>
      <c r="G40" s="6"/>
      <c r="H40" s="6"/>
      <c r="I40" s="6"/>
      <c r="K40" s="6"/>
      <c r="L40" s="6"/>
      <c r="M40" s="6"/>
      <c r="N40" s="6"/>
      <c r="O40" s="6"/>
      <c r="P40" s="6"/>
      <c r="Q40" s="5" t="s">
        <v>88</v>
      </c>
      <c r="R40" s="5"/>
      <c r="S40" s="5"/>
      <c r="T40" s="5"/>
      <c r="U40" s="5"/>
      <c r="V40" s="3"/>
      <c r="W40" s="6"/>
      <c r="Y40" s="5"/>
    </row>
    <row r="41" spans="1:30" ht="56" x14ac:dyDescent="0.3">
      <c r="A41" s="57">
        <v>19</v>
      </c>
      <c r="B41" s="58" t="s">
        <v>87</v>
      </c>
      <c r="C41" s="58"/>
      <c r="D41" s="21" t="s">
        <v>84</v>
      </c>
      <c r="G41" s="6" t="s">
        <v>85</v>
      </c>
      <c r="H41" s="6"/>
      <c r="I41" s="14" t="s">
        <v>286</v>
      </c>
      <c r="K41" s="6" t="s">
        <v>82</v>
      </c>
      <c r="L41" s="14" t="s">
        <v>295</v>
      </c>
      <c r="M41" s="14"/>
      <c r="N41" s="14"/>
      <c r="O41" s="14"/>
      <c r="P41" s="22" t="s">
        <v>86</v>
      </c>
      <c r="Q41" s="5" t="s">
        <v>81</v>
      </c>
      <c r="R41" s="88" t="s">
        <v>340</v>
      </c>
      <c r="S41" s="88"/>
      <c r="T41" s="88"/>
      <c r="U41" s="88"/>
      <c r="V41" s="3"/>
      <c r="W41" s="6" t="s">
        <v>83</v>
      </c>
      <c r="Y41" s="88"/>
      <c r="AA41" s="5" t="s">
        <v>79</v>
      </c>
      <c r="AC41" s="5" t="s">
        <v>80</v>
      </c>
      <c r="AD41" t="s">
        <v>435</v>
      </c>
    </row>
    <row r="42" spans="1:30" ht="28.5" x14ac:dyDescent="0.3">
      <c r="A42" s="59">
        <v>43</v>
      </c>
      <c r="B42" s="60" t="s">
        <v>465</v>
      </c>
      <c r="C42" s="60" t="s">
        <v>78</v>
      </c>
      <c r="D42" s="6"/>
      <c r="G42" s="6" t="s">
        <v>77</v>
      </c>
      <c r="H42" s="6"/>
      <c r="I42" s="6"/>
      <c r="K42" s="6" t="s">
        <v>75</v>
      </c>
      <c r="L42" s="14" t="s">
        <v>296</v>
      </c>
      <c r="M42" s="14"/>
      <c r="N42" s="14"/>
      <c r="O42" s="14"/>
      <c r="P42" s="14"/>
      <c r="Q42" s="6"/>
      <c r="R42" s="6"/>
      <c r="S42" s="6"/>
      <c r="T42" s="6"/>
      <c r="U42" s="6"/>
      <c r="V42" s="3"/>
      <c r="W42" s="6" t="s">
        <v>76</v>
      </c>
      <c r="Y42" s="6"/>
    </row>
    <row r="43" spans="1:30" x14ac:dyDescent="0.3">
      <c r="A43" s="61">
        <v>44</v>
      </c>
      <c r="B43" s="60" t="s">
        <v>449</v>
      </c>
      <c r="C43" s="60"/>
      <c r="D43" s="6"/>
      <c r="G43" s="6"/>
      <c r="H43" s="85" t="s">
        <v>263</v>
      </c>
      <c r="I43" s="85"/>
      <c r="K43" s="6"/>
      <c r="L43" s="6"/>
      <c r="M43" s="6"/>
      <c r="N43" s="6"/>
      <c r="O43" s="6"/>
      <c r="P43" s="22" t="s">
        <v>228</v>
      </c>
      <c r="Q43" s="6"/>
      <c r="R43" s="6"/>
      <c r="S43" s="6"/>
      <c r="T43" s="6"/>
      <c r="U43" s="6"/>
      <c r="V43" s="3"/>
      <c r="W43" s="6"/>
      <c r="Y43" s="6"/>
    </row>
    <row r="44" spans="1:30" ht="56" x14ac:dyDescent="0.3">
      <c r="A44" s="62">
        <v>45</v>
      </c>
      <c r="B44" s="60" t="s">
        <v>450</v>
      </c>
      <c r="C44" s="60"/>
      <c r="D44" s="21" t="s">
        <v>74</v>
      </c>
      <c r="F44" s="14" t="s">
        <v>239</v>
      </c>
      <c r="G44" s="6"/>
      <c r="H44" s="6"/>
      <c r="I44" s="14" t="s">
        <v>287</v>
      </c>
      <c r="K44" s="6"/>
      <c r="L44" s="6"/>
      <c r="M44" s="6"/>
      <c r="N44" s="6"/>
      <c r="O44" s="6"/>
      <c r="P44" s="22" t="s">
        <v>227</v>
      </c>
      <c r="Q44" s="6"/>
      <c r="R44" s="88" t="s">
        <v>338</v>
      </c>
      <c r="S44" t="s">
        <v>375</v>
      </c>
      <c r="T44"/>
      <c r="U44"/>
      <c r="V44" s="3"/>
      <c r="W44" s="6"/>
      <c r="Y44"/>
      <c r="AD44" t="s">
        <v>426</v>
      </c>
    </row>
    <row r="45" spans="1:30" x14ac:dyDescent="0.3">
      <c r="A45" s="63">
        <v>46</v>
      </c>
      <c r="B45" s="64" t="s">
        <v>466</v>
      </c>
      <c r="C45" s="64" t="s">
        <v>73</v>
      </c>
      <c r="D45" s="21" t="s">
        <v>71</v>
      </c>
      <c r="G45" s="6" t="s">
        <v>72</v>
      </c>
      <c r="H45" s="6"/>
      <c r="I45" s="6"/>
      <c r="K45" s="6"/>
      <c r="L45" s="14" t="s">
        <v>294</v>
      </c>
      <c r="M45" s="14"/>
      <c r="N45" s="14"/>
      <c r="O45" s="14"/>
      <c r="P45" s="22"/>
      <c r="Q45" s="6"/>
      <c r="R45" s="6"/>
      <c r="S45" s="6"/>
      <c r="T45" s="6"/>
      <c r="U45" s="6"/>
      <c r="V45" s="3"/>
      <c r="W45" s="6" t="s">
        <v>480</v>
      </c>
      <c r="Y45" s="6"/>
      <c r="AA45" s="5" t="s">
        <v>70</v>
      </c>
    </row>
    <row r="46" spans="1:30" ht="56.5" x14ac:dyDescent="0.3">
      <c r="A46" s="57">
        <v>47</v>
      </c>
      <c r="B46" s="65" t="s">
        <v>69</v>
      </c>
      <c r="C46" s="65"/>
      <c r="D46" s="6"/>
      <c r="F46" s="1" t="s">
        <v>247</v>
      </c>
      <c r="G46" s="6"/>
      <c r="H46" s="10" t="s">
        <v>267</v>
      </c>
      <c r="I46" s="5" t="s">
        <v>285</v>
      </c>
      <c r="K46" s="6" t="s">
        <v>67</v>
      </c>
      <c r="L46" s="6"/>
      <c r="M46" s="6"/>
      <c r="N46" s="6"/>
      <c r="O46" s="6"/>
      <c r="P46" s="22" t="s">
        <v>68</v>
      </c>
      <c r="Q46" s="6"/>
      <c r="R46" s="88" t="s">
        <v>341</v>
      </c>
      <c r="S46" s="88"/>
      <c r="T46" s="88"/>
      <c r="U46" s="90" t="s">
        <v>392</v>
      </c>
      <c r="V46" s="3"/>
      <c r="W46" s="6"/>
      <c r="Y46" s="90"/>
    </row>
    <row r="47" spans="1:30" x14ac:dyDescent="0.3">
      <c r="A47" s="66">
        <v>48</v>
      </c>
      <c r="B47" s="65" t="s">
        <v>451</v>
      </c>
      <c r="C47" s="65"/>
      <c r="D47" s="6"/>
      <c r="G47" s="6"/>
      <c r="H47" s="6"/>
      <c r="I47" s="6"/>
      <c r="K47" s="6"/>
      <c r="L47" s="6"/>
      <c r="M47" s="6"/>
      <c r="N47" s="6"/>
      <c r="O47" s="6"/>
      <c r="P47" s="22" t="s">
        <v>66</v>
      </c>
      <c r="Q47" s="6"/>
      <c r="R47" s="6"/>
      <c r="S47" s="6"/>
      <c r="T47" s="6"/>
      <c r="U47" s="6"/>
      <c r="V47" s="3"/>
      <c r="W47" s="6"/>
      <c r="Y47" s="6"/>
    </row>
    <row r="48" spans="1:30" ht="28.5" x14ac:dyDescent="0.3">
      <c r="A48" s="67">
        <v>49</v>
      </c>
      <c r="B48" s="65" t="s">
        <v>65</v>
      </c>
      <c r="C48" s="65"/>
      <c r="D48" s="6"/>
      <c r="G48" s="6"/>
      <c r="H48" s="6"/>
      <c r="I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3"/>
      <c r="W48" s="6"/>
      <c r="Y48" s="94" t="s">
        <v>402</v>
      </c>
    </row>
    <row r="49" spans="1:114" ht="28.5" x14ac:dyDescent="0.3">
      <c r="A49" s="68">
        <v>50</v>
      </c>
      <c r="B49" s="65" t="s">
        <v>64</v>
      </c>
      <c r="C49" s="65"/>
      <c r="D49" s="6"/>
      <c r="G49" s="6"/>
      <c r="H49" s="6"/>
      <c r="I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3"/>
      <c r="W49" s="6"/>
      <c r="Y49" s="94" t="s">
        <v>403</v>
      </c>
    </row>
    <row r="50" spans="1:114" x14ac:dyDescent="0.3">
      <c r="A50" s="69">
        <v>51</v>
      </c>
      <c r="B50" s="65" t="s">
        <v>63</v>
      </c>
      <c r="C50" s="65"/>
      <c r="D50" s="6"/>
      <c r="G50" s="6"/>
      <c r="H50" s="6"/>
      <c r="I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3"/>
      <c r="W50" s="5"/>
      <c r="Y50" s="94" t="s">
        <v>404</v>
      </c>
    </row>
    <row r="51" spans="1:114" ht="70" x14ac:dyDescent="0.3">
      <c r="A51" s="57">
        <v>53</v>
      </c>
      <c r="B51" s="58" t="s">
        <v>62</v>
      </c>
      <c r="C51" s="58"/>
      <c r="D51" s="21" t="s">
        <v>61</v>
      </c>
      <c r="G51" s="6"/>
      <c r="H51" s="6"/>
      <c r="I51" s="14" t="s">
        <v>288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3"/>
      <c r="W51" s="6" t="s">
        <v>60</v>
      </c>
      <c r="Y51" s="95" t="s">
        <v>414</v>
      </c>
    </row>
    <row r="52" spans="1:114" s="9" customFormat="1" x14ac:dyDescent="0.3">
      <c r="A52" s="70">
        <v>68</v>
      </c>
      <c r="B52" s="71" t="s">
        <v>460</v>
      </c>
      <c r="C52" s="71" t="s">
        <v>233</v>
      </c>
      <c r="D52" s="6"/>
      <c r="E52" s="6"/>
      <c r="F52" s="6"/>
      <c r="G52" s="6" t="s">
        <v>59</v>
      </c>
      <c r="H52" s="85" t="s">
        <v>259</v>
      </c>
      <c r="I52" s="8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 spans="1:114" s="9" customFormat="1" x14ac:dyDescent="0.3">
      <c r="A53" s="70">
        <v>65</v>
      </c>
      <c r="B53" s="71" t="s">
        <v>57</v>
      </c>
      <c r="C53" s="71" t="s">
        <v>56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 t="s">
        <v>55</v>
      </c>
      <c r="Q53" s="6"/>
      <c r="R53" s="6"/>
      <c r="S53" t="s">
        <v>374</v>
      </c>
      <c r="T53"/>
      <c r="U53"/>
      <c r="V53" s="6"/>
      <c r="W53" s="6"/>
      <c r="X53" s="6"/>
      <c r="Y53"/>
      <c r="Z53" s="6"/>
      <c r="AA53" s="6"/>
      <c r="AB53" s="6"/>
      <c r="AC53" s="6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 spans="1:114" s="9" customFormat="1" x14ac:dyDescent="0.3">
      <c r="A54" s="70">
        <v>64</v>
      </c>
      <c r="B54" s="70" t="s">
        <v>58</v>
      </c>
      <c r="C54" s="70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 t="s">
        <v>575</v>
      </c>
      <c r="R54" s="6"/>
      <c r="S54" t="s">
        <v>363</v>
      </c>
      <c r="T54"/>
      <c r="U54"/>
      <c r="V54" s="6"/>
      <c r="W54" s="6"/>
      <c r="X54" s="6"/>
      <c r="Y54"/>
      <c r="Z54" s="6"/>
      <c r="AA54" s="6"/>
      <c r="AB54" s="6"/>
      <c r="AC54" s="6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 spans="1:114" s="9" customFormat="1" x14ac:dyDescent="0.3">
      <c r="A55" s="70">
        <v>67</v>
      </c>
      <c r="B55" s="71" t="s">
        <v>54</v>
      </c>
      <c r="C55" s="71"/>
      <c r="D55" s="6"/>
      <c r="E55" s="6"/>
      <c r="F55" s="6"/>
      <c r="G55" s="6" t="s">
        <v>53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 spans="1:114" x14ac:dyDescent="0.3">
      <c r="A56" s="72">
        <v>23</v>
      </c>
      <c r="B56" s="73" t="s">
        <v>52</v>
      </c>
      <c r="C56" s="73"/>
      <c r="D56" s="6"/>
      <c r="F56" s="14" t="s">
        <v>250</v>
      </c>
      <c r="G56" s="6"/>
      <c r="H56" s="6"/>
      <c r="I56" s="6"/>
      <c r="K56" s="6"/>
      <c r="L56" s="6"/>
      <c r="M56" s="6"/>
      <c r="N56" s="6"/>
      <c r="O56" s="14" t="s">
        <v>329</v>
      </c>
      <c r="P56" s="22"/>
      <c r="Q56" s="6"/>
      <c r="R56" s="88" t="s">
        <v>349</v>
      </c>
      <c r="S56" s="88"/>
      <c r="T56" s="88"/>
      <c r="U56" s="88"/>
      <c r="V56" s="3"/>
      <c r="W56" s="6"/>
      <c r="Y56" s="88"/>
    </row>
    <row r="57" spans="1:114" ht="43" x14ac:dyDescent="0.3">
      <c r="A57" s="74">
        <v>72</v>
      </c>
      <c r="B57" s="74" t="s">
        <v>51</v>
      </c>
      <c r="C57" s="74"/>
      <c r="D57" s="6"/>
      <c r="G57" s="6"/>
      <c r="H57" s="6"/>
      <c r="I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3"/>
      <c r="W57" s="75"/>
      <c r="Y57" s="95" t="s">
        <v>420</v>
      </c>
    </row>
    <row r="58" spans="1:114" x14ac:dyDescent="0.3">
      <c r="A58" s="74">
        <v>91</v>
      </c>
      <c r="B58" s="74" t="s">
        <v>50</v>
      </c>
      <c r="C58" s="74"/>
      <c r="D58" s="6"/>
      <c r="G58" s="6"/>
      <c r="H58" s="6"/>
      <c r="I58" s="6"/>
      <c r="K58" s="6"/>
      <c r="L58" s="6"/>
      <c r="M58" s="6"/>
      <c r="N58" s="14" t="s">
        <v>314</v>
      </c>
      <c r="O58" s="14" t="s">
        <v>314</v>
      </c>
      <c r="P58" s="6"/>
      <c r="Q58" s="6"/>
      <c r="R58" s="6"/>
      <c r="S58" s="6"/>
      <c r="T58" s="6"/>
      <c r="U58" s="6"/>
      <c r="V58" s="3"/>
      <c r="W58" s="6"/>
      <c r="Y58" s="6"/>
    </row>
    <row r="59" spans="1:114" ht="43" x14ac:dyDescent="0.3">
      <c r="A59" s="74">
        <v>74</v>
      </c>
      <c r="B59" s="76" t="s">
        <v>49</v>
      </c>
      <c r="C59" s="76"/>
      <c r="D59" s="6"/>
      <c r="G59" s="6"/>
      <c r="H59" s="6"/>
      <c r="I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3"/>
      <c r="W59" s="75"/>
      <c r="Y59" s="95" t="s">
        <v>418</v>
      </c>
    </row>
    <row r="60" spans="1:114" x14ac:dyDescent="0.3">
      <c r="A60" s="74">
        <v>75</v>
      </c>
      <c r="B60" s="76" t="s">
        <v>48</v>
      </c>
      <c r="C60" s="76"/>
      <c r="D60" s="21"/>
      <c r="G60" s="6"/>
      <c r="H60" s="6"/>
      <c r="I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3"/>
      <c r="W60" s="6"/>
      <c r="Y60" s="94" t="s">
        <v>413</v>
      </c>
    </row>
    <row r="61" spans="1:114" x14ac:dyDescent="0.3">
      <c r="A61" s="74">
        <v>76</v>
      </c>
      <c r="B61" s="76" t="s">
        <v>47</v>
      </c>
      <c r="C61" s="76"/>
      <c r="D61" s="6"/>
      <c r="G61" s="6"/>
      <c r="H61" s="6"/>
      <c r="I61" s="6"/>
      <c r="K61" s="6"/>
      <c r="L61" s="6"/>
      <c r="M61" s="6"/>
      <c r="N61" s="6"/>
      <c r="O61" s="6"/>
      <c r="P61" s="6"/>
      <c r="Q61" s="6"/>
      <c r="R61" s="6"/>
      <c r="S61" t="s">
        <v>371</v>
      </c>
      <c r="T61"/>
      <c r="U61"/>
      <c r="V61" s="3"/>
      <c r="W61" s="75"/>
      <c r="Y61" s="95" t="s">
        <v>419</v>
      </c>
    </row>
    <row r="62" spans="1:114" x14ac:dyDescent="0.3">
      <c r="A62" s="74">
        <v>94</v>
      </c>
      <c r="B62" s="74" t="s">
        <v>46</v>
      </c>
      <c r="C62" s="74"/>
      <c r="D62" s="6"/>
      <c r="G62" s="6"/>
      <c r="H62" s="6"/>
      <c r="I62" s="6"/>
      <c r="K62" s="6"/>
      <c r="L62" s="6"/>
      <c r="M62" s="6"/>
      <c r="N62" s="14" t="s">
        <v>322</v>
      </c>
      <c r="O62" s="6"/>
      <c r="P62" s="6"/>
      <c r="Q62" s="6"/>
      <c r="R62" s="6"/>
      <c r="S62" s="6"/>
      <c r="T62" s="6"/>
      <c r="U62" s="6"/>
      <c r="V62" s="3"/>
      <c r="W62" s="6"/>
      <c r="Y62" s="6"/>
    </row>
    <row r="63" spans="1:114" x14ac:dyDescent="0.3">
      <c r="A63" s="74">
        <v>92</v>
      </c>
      <c r="B63" s="74" t="s">
        <v>45</v>
      </c>
      <c r="C63" s="74"/>
      <c r="D63" s="6"/>
      <c r="E63" s="5" t="s">
        <v>44</v>
      </c>
      <c r="G63" s="6"/>
      <c r="H63" s="6"/>
      <c r="I63" s="6"/>
      <c r="K63" s="6"/>
      <c r="L63" s="6"/>
      <c r="M63" s="6"/>
      <c r="N63" s="14" t="s">
        <v>328</v>
      </c>
      <c r="O63" s="14" t="s">
        <v>328</v>
      </c>
      <c r="P63" s="6"/>
      <c r="Q63" s="6"/>
      <c r="R63" s="6"/>
      <c r="S63" s="6"/>
      <c r="T63" s="6"/>
      <c r="U63" s="6"/>
      <c r="V63" s="3"/>
      <c r="W63" s="6"/>
      <c r="Y63" s="6"/>
    </row>
    <row r="64" spans="1:114" ht="56" x14ac:dyDescent="0.3">
      <c r="A64" s="74">
        <v>34</v>
      </c>
      <c r="B64" s="74" t="s">
        <v>43</v>
      </c>
      <c r="C64" s="74"/>
      <c r="D64" s="6"/>
      <c r="G64" s="6"/>
      <c r="H64" s="6"/>
      <c r="I64" s="14" t="s">
        <v>276</v>
      </c>
      <c r="K64" s="6" t="s">
        <v>42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3"/>
      <c r="W64" s="6"/>
      <c r="Y64" s="6"/>
    </row>
    <row r="65" spans="1:31" x14ac:dyDescent="0.3">
      <c r="A65" s="77">
        <v>58</v>
      </c>
      <c r="B65" s="77" t="s">
        <v>452</v>
      </c>
      <c r="C65" s="77"/>
      <c r="D65" s="6"/>
      <c r="G65" s="6" t="s">
        <v>41</v>
      </c>
      <c r="H65" s="6"/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3"/>
      <c r="W65" s="6"/>
      <c r="Y65" s="6"/>
    </row>
    <row r="66" spans="1:31" x14ac:dyDescent="0.3">
      <c r="A66" s="78">
        <v>77</v>
      </c>
      <c r="B66" s="78" t="s">
        <v>40</v>
      </c>
      <c r="C66" s="78"/>
      <c r="D66" s="6"/>
      <c r="G66" s="6" t="s">
        <v>39</v>
      </c>
      <c r="H66" s="6"/>
      <c r="I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3"/>
      <c r="W66" s="6"/>
      <c r="Y66" s="6"/>
    </row>
    <row r="67" spans="1:31" x14ac:dyDescent="0.3">
      <c r="A67" s="78">
        <v>78</v>
      </c>
      <c r="B67" s="78" t="s">
        <v>38</v>
      </c>
      <c r="C67" s="78"/>
      <c r="D67" s="6"/>
      <c r="G67" s="6" t="s">
        <v>37</v>
      </c>
      <c r="H67" s="6"/>
      <c r="I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3"/>
      <c r="W67" s="6"/>
      <c r="Y67" s="6"/>
    </row>
    <row r="68" spans="1:31" x14ac:dyDescent="0.3">
      <c r="A68" s="79">
        <v>79</v>
      </c>
      <c r="B68" s="80" t="s">
        <v>36</v>
      </c>
      <c r="C68" s="80"/>
      <c r="D68" s="6"/>
      <c r="G68" s="6" t="s">
        <v>35</v>
      </c>
      <c r="H68" s="6"/>
      <c r="I68" s="6"/>
      <c r="K68" s="6"/>
      <c r="L68" s="6"/>
      <c r="M68" s="6"/>
      <c r="N68" s="6"/>
      <c r="O68" s="14" t="s">
        <v>327</v>
      </c>
      <c r="P68" s="6"/>
      <c r="Q68" s="6"/>
      <c r="R68" s="6"/>
      <c r="S68" t="s">
        <v>373</v>
      </c>
      <c r="T68"/>
      <c r="U68"/>
      <c r="V68" s="3"/>
      <c r="W68" s="6"/>
      <c r="Y68"/>
    </row>
    <row r="69" spans="1:31" x14ac:dyDescent="0.3">
      <c r="A69" s="79">
        <v>81</v>
      </c>
      <c r="B69" s="80" t="s">
        <v>34</v>
      </c>
      <c r="C69" s="80"/>
      <c r="D69" s="6"/>
      <c r="G69" s="6"/>
      <c r="H69" s="6"/>
      <c r="I69" s="6"/>
      <c r="K69" s="6"/>
      <c r="L69" s="6"/>
      <c r="M69" s="6"/>
      <c r="N69" s="6"/>
      <c r="O69" s="6"/>
      <c r="P69" s="6"/>
      <c r="Q69" s="5" t="s">
        <v>33</v>
      </c>
      <c r="R69" s="5"/>
      <c r="S69" t="s">
        <v>369</v>
      </c>
      <c r="T69"/>
      <c r="U69"/>
      <c r="V69" s="3"/>
      <c r="W69" s="6"/>
      <c r="Y69"/>
    </row>
    <row r="70" spans="1:31" ht="56.5" x14ac:dyDescent="0.3">
      <c r="A70" s="79"/>
      <c r="B70" s="11" t="s">
        <v>542</v>
      </c>
      <c r="C70" s="11"/>
      <c r="D70" s="6"/>
      <c r="G70" s="12" t="s">
        <v>572</v>
      </c>
      <c r="H70" s="6"/>
      <c r="I70" s="6"/>
      <c r="K70" s="6"/>
      <c r="L70" s="6"/>
      <c r="M70" s="6"/>
      <c r="N70" s="6"/>
      <c r="O70" s="6"/>
      <c r="P70" s="6"/>
      <c r="Q70" s="51" t="s">
        <v>599</v>
      </c>
      <c r="R70" s="6"/>
      <c r="S70" t="s">
        <v>355</v>
      </c>
      <c r="T70"/>
      <c r="U70"/>
      <c r="V70" s="3"/>
      <c r="W70" s="6"/>
      <c r="Y70"/>
      <c r="AE70" t="s">
        <v>438</v>
      </c>
    </row>
    <row r="71" spans="1:31" x14ac:dyDescent="0.3">
      <c r="A71" s="36">
        <v>88</v>
      </c>
      <c r="B71" s="36" t="s">
        <v>32</v>
      </c>
      <c r="C71" s="36"/>
      <c r="D71" s="6"/>
      <c r="G71" s="6"/>
      <c r="H71" s="85" t="s">
        <v>260</v>
      </c>
      <c r="I71" s="85"/>
      <c r="K71" s="6"/>
      <c r="L71" s="6"/>
      <c r="M71" s="6"/>
      <c r="N71" s="6"/>
      <c r="O71" s="6"/>
      <c r="P71" s="6"/>
      <c r="Q71" s="6"/>
      <c r="R71" s="6"/>
      <c r="S71" t="s">
        <v>358</v>
      </c>
      <c r="T71"/>
      <c r="U71"/>
      <c r="V71" s="3"/>
      <c r="W71" s="6"/>
      <c r="Y71"/>
    </row>
    <row r="72" spans="1:31" x14ac:dyDescent="0.3">
      <c r="A72" s="36">
        <v>61</v>
      </c>
      <c r="B72" s="36" t="s">
        <v>29</v>
      </c>
      <c r="C72" s="36"/>
      <c r="D72" s="6"/>
      <c r="G72" s="6"/>
      <c r="H72" s="85" t="s">
        <v>266</v>
      </c>
      <c r="I72" s="8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3"/>
      <c r="W72" s="6"/>
      <c r="Y72" s="6"/>
    </row>
    <row r="73" spans="1:31" x14ac:dyDescent="0.3">
      <c r="A73" s="36">
        <v>31</v>
      </c>
      <c r="B73" s="36" t="s">
        <v>28</v>
      </c>
      <c r="C73" s="36"/>
      <c r="D73" s="6"/>
      <c r="G73" s="6"/>
      <c r="H73" s="6"/>
      <c r="I73" s="6"/>
      <c r="K73" s="6"/>
      <c r="L73" s="6"/>
      <c r="M73" s="6"/>
      <c r="N73" s="6"/>
      <c r="O73" s="6"/>
      <c r="P73" s="22" t="s">
        <v>27</v>
      </c>
      <c r="Q73" s="6"/>
      <c r="R73" s="6"/>
      <c r="S73" s="6"/>
      <c r="T73" s="6"/>
      <c r="U73" s="6"/>
      <c r="V73" s="3"/>
      <c r="W73" s="6"/>
      <c r="Y73" s="6"/>
    </row>
    <row r="74" spans="1:31" ht="56" x14ac:dyDescent="0.3">
      <c r="A74" s="6">
        <v>39</v>
      </c>
      <c r="B74" s="81" t="s">
        <v>26</v>
      </c>
      <c r="C74" s="81"/>
      <c r="D74" s="21" t="s">
        <v>23</v>
      </c>
      <c r="G74" s="6" t="s">
        <v>24</v>
      </c>
      <c r="H74" s="6"/>
      <c r="I74" s="14" t="s">
        <v>282</v>
      </c>
      <c r="K74" s="6" t="s">
        <v>21</v>
      </c>
      <c r="L74" s="6"/>
      <c r="M74" s="6"/>
      <c r="N74" s="6"/>
      <c r="O74" s="6"/>
      <c r="P74" s="22" t="s">
        <v>25</v>
      </c>
      <c r="Q74" s="6"/>
      <c r="R74" s="6"/>
      <c r="S74" s="6"/>
      <c r="T74" s="6"/>
      <c r="U74" s="6"/>
      <c r="V74" s="3"/>
      <c r="W74" s="6" t="s">
        <v>22</v>
      </c>
      <c r="Y74" s="6"/>
      <c r="AD74" t="s">
        <v>436</v>
      </c>
    </row>
    <row r="75" spans="1:31" ht="28.5" x14ac:dyDescent="0.3">
      <c r="A75" s="6">
        <v>40</v>
      </c>
      <c r="B75" s="81" t="s">
        <v>453</v>
      </c>
      <c r="C75" s="81"/>
      <c r="D75" s="6"/>
      <c r="F75" s="82" t="s">
        <v>241</v>
      </c>
      <c r="G75" s="6"/>
      <c r="H75" s="6"/>
      <c r="I75" s="6"/>
      <c r="K75" s="6" t="s">
        <v>19</v>
      </c>
      <c r="L75" s="14" t="s">
        <v>298</v>
      </c>
      <c r="M75" s="14"/>
      <c r="N75" s="14"/>
      <c r="O75" s="14"/>
      <c r="P75" s="22" t="s">
        <v>20</v>
      </c>
      <c r="Q75" s="5" t="s">
        <v>18</v>
      </c>
      <c r="R75" s="88" t="s">
        <v>339</v>
      </c>
      <c r="S75" s="51" t="s">
        <v>564</v>
      </c>
      <c r="T75" s="14"/>
      <c r="U75" s="90" t="s">
        <v>396</v>
      </c>
      <c r="V75" s="3"/>
      <c r="W75" s="6"/>
      <c r="Y75" s="3"/>
      <c r="AA75" s="5" t="s">
        <v>16</v>
      </c>
      <c r="AC75" s="5" t="s">
        <v>17</v>
      </c>
      <c r="AD75" t="s">
        <v>428</v>
      </c>
    </row>
    <row r="76" spans="1:31" x14ac:dyDescent="0.3">
      <c r="A76" s="6">
        <v>93</v>
      </c>
      <c r="B76" s="6" t="s">
        <v>15</v>
      </c>
      <c r="D76" s="6"/>
      <c r="G76" s="6"/>
      <c r="H76" s="6"/>
      <c r="I76" s="6"/>
      <c r="K76" s="6"/>
      <c r="L76" s="6"/>
      <c r="M76" s="6"/>
      <c r="N76" s="14" t="s">
        <v>320</v>
      </c>
      <c r="O76" s="14" t="s">
        <v>332</v>
      </c>
      <c r="P76" s="6"/>
      <c r="Q76" s="6"/>
      <c r="R76" s="6"/>
      <c r="S76" s="6"/>
      <c r="T76" s="6"/>
      <c r="U76" s="6"/>
      <c r="V76" s="3"/>
      <c r="W76" s="6"/>
      <c r="Y76" s="3"/>
    </row>
    <row r="77" spans="1:31" ht="56" x14ac:dyDescent="0.3">
      <c r="A77" s="6">
        <v>57</v>
      </c>
      <c r="B77" s="83" t="s">
        <v>454</v>
      </c>
      <c r="C77" s="83"/>
      <c r="D77" s="21" t="s">
        <v>12</v>
      </c>
      <c r="E77" s="5" t="s">
        <v>8</v>
      </c>
      <c r="F77" s="14" t="s">
        <v>252</v>
      </c>
      <c r="G77" s="6" t="s">
        <v>13</v>
      </c>
      <c r="H77" s="85" t="s">
        <v>258</v>
      </c>
      <c r="I77" s="14" t="s">
        <v>279</v>
      </c>
      <c r="J77" s="5" t="s">
        <v>7</v>
      </c>
      <c r="K77" s="6" t="s">
        <v>10</v>
      </c>
      <c r="L77" s="6"/>
      <c r="M77" s="6"/>
      <c r="N77" s="14" t="s">
        <v>311</v>
      </c>
      <c r="O77" s="6"/>
      <c r="P77" s="22" t="s">
        <v>14</v>
      </c>
      <c r="Q77" s="6"/>
      <c r="R77" s="88" t="s">
        <v>346</v>
      </c>
      <c r="S77" t="s">
        <v>362</v>
      </c>
      <c r="T77"/>
      <c r="U77"/>
      <c r="V77" s="3"/>
      <c r="W77" s="6" t="s">
        <v>11</v>
      </c>
      <c r="Y77"/>
      <c r="AB77" s="5" t="s">
        <v>6</v>
      </c>
      <c r="AC77" s="5" t="s">
        <v>9</v>
      </c>
    </row>
    <row r="78" spans="1:31" ht="56" x14ac:dyDescent="0.3">
      <c r="A78" s="6">
        <v>71</v>
      </c>
      <c r="B78" s="84" t="s">
        <v>5</v>
      </c>
      <c r="C78" s="84"/>
      <c r="D78" s="6"/>
      <c r="E78" s="5" t="s">
        <v>1</v>
      </c>
      <c r="G78" s="6" t="s">
        <v>4</v>
      </c>
      <c r="H78" s="6"/>
      <c r="I78" s="14" t="s">
        <v>278</v>
      </c>
      <c r="J78" s="5" t="s">
        <v>0</v>
      </c>
      <c r="K78" s="6" t="s">
        <v>2</v>
      </c>
      <c r="L78" s="87" t="s">
        <v>673</v>
      </c>
      <c r="M78" s="14"/>
      <c r="N78" s="86" t="s">
        <v>595</v>
      </c>
      <c r="O78" s="14"/>
      <c r="P78" s="43" t="s">
        <v>598</v>
      </c>
      <c r="Q78" s="6"/>
      <c r="R78" s="6"/>
      <c r="S78" t="s">
        <v>365</v>
      </c>
      <c r="T78" t="s">
        <v>380</v>
      </c>
      <c r="U78"/>
      <c r="V78" s="3"/>
      <c r="W78" s="6" t="s">
        <v>3</v>
      </c>
      <c r="Y78" s="94" t="s">
        <v>401</v>
      </c>
      <c r="AA78" s="87" t="s">
        <v>672</v>
      </c>
      <c r="AD78" t="s">
        <v>430</v>
      </c>
    </row>
    <row r="79" spans="1:31" s="5" customFormat="1" ht="28" x14ac:dyDescent="0.3">
      <c r="B79" s="5" t="s">
        <v>671</v>
      </c>
      <c r="L79" s="87" t="s">
        <v>673</v>
      </c>
      <c r="AA79" s="87" t="s">
        <v>672</v>
      </c>
    </row>
    <row r="80" spans="1:31" x14ac:dyDescent="0.3">
      <c r="B80" s="14" t="s">
        <v>313</v>
      </c>
      <c r="N80" s="14" t="s">
        <v>312</v>
      </c>
      <c r="O80" s="14" t="s">
        <v>312</v>
      </c>
    </row>
    <row r="81" spans="2:31" x14ac:dyDescent="0.3">
      <c r="B81" s="6" t="s">
        <v>326</v>
      </c>
      <c r="O81" s="14" t="s">
        <v>325</v>
      </c>
    </row>
    <row r="82" spans="2:31" x14ac:dyDescent="0.3">
      <c r="B82" s="6" t="s">
        <v>677</v>
      </c>
      <c r="O82" s="14" t="s">
        <v>333</v>
      </c>
    </row>
    <row r="83" spans="2:31" x14ac:dyDescent="0.3">
      <c r="B83" s="6" t="s">
        <v>353</v>
      </c>
      <c r="S83" t="s">
        <v>352</v>
      </c>
      <c r="T83"/>
      <c r="U83"/>
      <c r="Y83"/>
    </row>
    <row r="84" spans="2:31" x14ac:dyDescent="0.3">
      <c r="B84" s="2" t="s">
        <v>360</v>
      </c>
      <c r="S84" t="s">
        <v>359</v>
      </c>
      <c r="T84"/>
      <c r="U84"/>
      <c r="Y84"/>
    </row>
    <row r="85" spans="2:31" x14ac:dyDescent="0.3">
      <c r="B85" s="6" t="s">
        <v>416</v>
      </c>
      <c r="Y85" s="95" t="s">
        <v>415</v>
      </c>
    </row>
    <row r="86" spans="2:31" x14ac:dyDescent="0.3">
      <c r="B86" s="2" t="s">
        <v>433</v>
      </c>
      <c r="AD86" t="s">
        <v>432</v>
      </c>
    </row>
    <row r="87" spans="2:31" x14ac:dyDescent="0.3">
      <c r="B87" s="6" t="s">
        <v>441</v>
      </c>
      <c r="AE87" t="s">
        <v>440</v>
      </c>
    </row>
    <row r="88" spans="2:31" x14ac:dyDescent="0.3">
      <c r="B88" s="6" t="s">
        <v>571</v>
      </c>
      <c r="D88" s="2">
        <v>20</v>
      </c>
      <c r="E88" s="5">
        <v>13</v>
      </c>
      <c r="F88" s="5">
        <v>20</v>
      </c>
      <c r="G88" s="2">
        <v>27</v>
      </c>
      <c r="H88" s="2">
        <v>18</v>
      </c>
      <c r="I88" s="2">
        <v>21</v>
      </c>
      <c r="J88" s="5">
        <v>6</v>
      </c>
      <c r="K88" s="2">
        <v>21</v>
      </c>
      <c r="L88" s="2">
        <v>9</v>
      </c>
      <c r="M88" s="2">
        <v>7</v>
      </c>
      <c r="N88" s="2">
        <v>17</v>
      </c>
      <c r="O88" s="2">
        <v>18</v>
      </c>
      <c r="P88" s="2">
        <v>33</v>
      </c>
      <c r="Q88" s="2">
        <v>20</v>
      </c>
      <c r="R88" s="2">
        <v>20</v>
      </c>
      <c r="S88" s="2">
        <v>31</v>
      </c>
      <c r="T88" s="2">
        <v>7</v>
      </c>
      <c r="U88" s="2">
        <v>13</v>
      </c>
      <c r="V88" s="4">
        <v>4</v>
      </c>
      <c r="W88" s="2">
        <v>20</v>
      </c>
      <c r="X88" s="5">
        <v>7</v>
      </c>
      <c r="Y88" s="2">
        <v>24</v>
      </c>
      <c r="Z88" s="3">
        <v>1</v>
      </c>
      <c r="AA88" s="5">
        <v>11</v>
      </c>
      <c r="AB88" s="5">
        <v>4</v>
      </c>
      <c r="AC88" s="5">
        <v>13</v>
      </c>
      <c r="AD88" s="1">
        <v>12</v>
      </c>
      <c r="AE88" s="1">
        <v>8</v>
      </c>
    </row>
    <row r="89" spans="2:31" x14ac:dyDescent="0.3">
      <c r="B89" s="6" t="s">
        <v>573</v>
      </c>
      <c r="D89" s="2">
        <v>1</v>
      </c>
      <c r="E89" s="5">
        <v>1</v>
      </c>
      <c r="F89" s="5">
        <v>3</v>
      </c>
      <c r="G89" s="2">
        <v>3</v>
      </c>
      <c r="H89" s="2">
        <v>2</v>
      </c>
      <c r="I89" s="2">
        <v>2</v>
      </c>
      <c r="K89" s="2">
        <v>1</v>
      </c>
      <c r="N89" s="2">
        <v>1</v>
      </c>
      <c r="O89" s="2">
        <v>1</v>
      </c>
      <c r="P89" s="2">
        <v>7</v>
      </c>
      <c r="Q89" s="2">
        <v>6</v>
      </c>
      <c r="R89" s="2">
        <v>4</v>
      </c>
      <c r="S89" s="2">
        <v>2</v>
      </c>
      <c r="U89" s="2">
        <v>3</v>
      </c>
      <c r="X89" s="5">
        <v>3</v>
      </c>
      <c r="AC89" s="5">
        <v>1</v>
      </c>
      <c r="AD89" s="1">
        <v>1</v>
      </c>
    </row>
    <row r="90" spans="2:31" ht="14" x14ac:dyDescent="0.25">
      <c r="B90" s="6" t="s">
        <v>567</v>
      </c>
      <c r="D90" s="2">
        <f>D88-D89</f>
        <v>19</v>
      </c>
      <c r="E90" s="2">
        <f t="shared" ref="E90:AE90" si="0">E88-E89</f>
        <v>12</v>
      </c>
      <c r="F90" s="2">
        <f t="shared" si="0"/>
        <v>17</v>
      </c>
      <c r="G90" s="2">
        <f t="shared" si="0"/>
        <v>24</v>
      </c>
      <c r="H90" s="2">
        <f t="shared" si="0"/>
        <v>16</v>
      </c>
      <c r="I90" s="2">
        <f t="shared" si="0"/>
        <v>19</v>
      </c>
      <c r="J90" s="2">
        <f t="shared" si="0"/>
        <v>6</v>
      </c>
      <c r="K90" s="2">
        <f t="shared" si="0"/>
        <v>20</v>
      </c>
      <c r="L90" s="2">
        <f t="shared" si="0"/>
        <v>9</v>
      </c>
      <c r="M90" s="2">
        <f t="shared" si="0"/>
        <v>7</v>
      </c>
      <c r="N90" s="2">
        <f t="shared" si="0"/>
        <v>16</v>
      </c>
      <c r="O90" s="2">
        <f t="shared" si="0"/>
        <v>17</v>
      </c>
      <c r="P90" s="2">
        <f t="shared" si="0"/>
        <v>26</v>
      </c>
      <c r="Q90" s="2">
        <f t="shared" si="0"/>
        <v>14</v>
      </c>
      <c r="R90" s="2">
        <f t="shared" si="0"/>
        <v>16</v>
      </c>
      <c r="S90" s="2">
        <f t="shared" si="0"/>
        <v>29</v>
      </c>
      <c r="T90" s="2">
        <f t="shared" si="0"/>
        <v>7</v>
      </c>
      <c r="U90" s="2">
        <f t="shared" si="0"/>
        <v>10</v>
      </c>
      <c r="V90" s="2">
        <f t="shared" si="0"/>
        <v>4</v>
      </c>
      <c r="W90" s="2">
        <f t="shared" si="0"/>
        <v>20</v>
      </c>
      <c r="X90" s="2">
        <f t="shared" si="0"/>
        <v>4</v>
      </c>
      <c r="Y90" s="2">
        <f t="shared" si="0"/>
        <v>24</v>
      </c>
      <c r="Z90" s="2">
        <f t="shared" si="0"/>
        <v>1</v>
      </c>
      <c r="AA90" s="2">
        <f t="shared" si="0"/>
        <v>11</v>
      </c>
      <c r="AB90" s="2">
        <f t="shared" si="0"/>
        <v>4</v>
      </c>
      <c r="AC90" s="2">
        <f t="shared" si="0"/>
        <v>12</v>
      </c>
      <c r="AD90" s="2">
        <f t="shared" si="0"/>
        <v>11</v>
      </c>
      <c r="AE90" s="2">
        <f t="shared" si="0"/>
        <v>8</v>
      </c>
    </row>
  </sheetData>
  <phoneticPr fontId="5" type="noConversion"/>
  <hyperlinks>
    <hyperlink ref="Y30" r:id="rId1" display="https://baike.baidu.com/item/%E6%80%A7%E6%AC%B2%E5%87%8F%E9%80%80/4352905" xr:uid="{1F139007-F9CB-484F-BB0D-3B0BA8D7932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636E-8D41-4D54-9CCE-4560144CB19B}">
  <dimension ref="A1:DP91"/>
  <sheetViews>
    <sheetView topLeftCell="B1" zoomScale="70" zoomScaleNormal="70" workbookViewId="0">
      <pane xSplit="1" ySplit="2" topLeftCell="C71" activePane="bottomRight" state="frozen"/>
      <selection activeCell="B1" sqref="B1"/>
      <selection pane="topRight" activeCell="C1" sqref="C1"/>
      <selection pane="bottomLeft" activeCell="B3" sqref="B3"/>
      <selection pane="bottomRight" activeCell="B82" sqref="B82"/>
    </sheetView>
  </sheetViews>
  <sheetFormatPr defaultColWidth="8.9140625" defaultRowHeight="14.5" x14ac:dyDescent="0.3"/>
  <cols>
    <col min="1" max="1" width="0" style="2" hidden="1" customWidth="1"/>
    <col min="2" max="2" width="34.33203125" style="113" customWidth="1"/>
    <col min="3" max="3" width="10.58203125" style="97" customWidth="1"/>
    <col min="4" max="4" width="9.08203125" style="98" customWidth="1"/>
    <col min="5" max="5" width="11.25" style="98" customWidth="1"/>
    <col min="6" max="6" width="11.58203125" style="97" customWidth="1"/>
    <col min="7" max="7" width="9.9140625" style="97" customWidth="1"/>
    <col min="8" max="8" width="8.75" style="97" customWidth="1"/>
    <col min="9" max="9" width="11" style="98" customWidth="1"/>
    <col min="10" max="10" width="8.9140625" style="97" customWidth="1"/>
    <col min="11" max="11" width="10.08203125" style="97" customWidth="1"/>
    <col min="12" max="12" width="11.58203125" style="97" customWidth="1"/>
    <col min="13" max="13" width="11.4140625" style="97" customWidth="1"/>
    <col min="14" max="14" width="10.58203125" style="97" customWidth="1"/>
    <col min="15" max="15" width="9" style="97" customWidth="1"/>
    <col min="16" max="16" width="9.4140625" style="97" customWidth="1"/>
    <col min="17" max="17" width="11.4140625" style="97" customWidth="1"/>
    <col min="18" max="18" width="8.33203125" style="97" customWidth="1"/>
    <col min="19" max="19" width="11.58203125" style="2" customWidth="1"/>
    <col min="20" max="20" width="15.4140625" style="97" customWidth="1"/>
    <col min="21" max="21" width="8.58203125" style="100" customWidth="1"/>
    <col min="22" max="22" width="10.58203125" style="97" customWidth="1"/>
    <col min="23" max="23" width="9.58203125" style="98" customWidth="1"/>
    <col min="24" max="24" width="10.08203125" style="97" customWidth="1"/>
    <col min="25" max="25" width="10" style="99" customWidth="1"/>
    <col min="26" max="26" width="12.08203125" style="98" customWidth="1"/>
    <col min="27" max="27" width="12.75" style="98" customWidth="1"/>
    <col min="28" max="28" width="10.6640625" style="98" customWidth="1"/>
    <col min="29" max="29" width="7.4140625" style="101" customWidth="1"/>
    <col min="30" max="30" width="12.58203125" style="175" customWidth="1"/>
    <col min="31" max="16384" width="8.9140625" style="1"/>
  </cols>
  <sheetData>
    <row r="1" spans="1:31" ht="53.5" x14ac:dyDescent="0.3">
      <c r="A1" s="128" t="s">
        <v>226</v>
      </c>
      <c r="B1" s="115" t="s">
        <v>546</v>
      </c>
      <c r="C1" s="112"/>
      <c r="D1" s="110"/>
      <c r="E1" s="110"/>
      <c r="F1" s="112"/>
      <c r="G1" s="112"/>
      <c r="H1" s="112"/>
      <c r="I1" s="110"/>
      <c r="J1" s="112"/>
      <c r="K1" s="112"/>
      <c r="L1" s="112"/>
      <c r="M1" s="112"/>
      <c r="N1" s="112"/>
      <c r="O1" s="112"/>
      <c r="P1" s="112"/>
      <c r="Q1" s="112"/>
      <c r="R1" s="112"/>
      <c r="S1" s="128"/>
      <c r="T1" s="112"/>
      <c r="U1" s="112"/>
      <c r="V1" s="112"/>
      <c r="W1" s="110"/>
      <c r="X1" s="112"/>
      <c r="Y1" s="112"/>
      <c r="Z1" s="110"/>
      <c r="AA1" s="110"/>
      <c r="AB1" s="110"/>
      <c r="AC1" s="105"/>
    </row>
    <row r="2" spans="1:31" s="114" customFormat="1" ht="54" x14ac:dyDescent="0.4">
      <c r="A2" s="116" t="s">
        <v>547</v>
      </c>
      <c r="B2" s="116"/>
      <c r="C2" s="126" t="s">
        <v>220</v>
      </c>
      <c r="D2" s="127" t="s">
        <v>215</v>
      </c>
      <c r="E2" s="127" t="s">
        <v>237</v>
      </c>
      <c r="F2" s="126" t="s">
        <v>221</v>
      </c>
      <c r="G2" s="126" t="s">
        <v>256</v>
      </c>
      <c r="H2" s="126" t="s">
        <v>481</v>
      </c>
      <c r="I2" s="127" t="s">
        <v>482</v>
      </c>
      <c r="J2" s="173" t="s">
        <v>218</v>
      </c>
      <c r="K2" s="173" t="s">
        <v>483</v>
      </c>
      <c r="L2" s="173" t="s">
        <v>557</v>
      </c>
      <c r="M2" s="173" t="s">
        <v>548</v>
      </c>
      <c r="N2" s="173" t="s">
        <v>549</v>
      </c>
      <c r="O2" s="126" t="s">
        <v>222</v>
      </c>
      <c r="P2" s="126" t="s">
        <v>559</v>
      </c>
      <c r="Q2" s="126" t="s">
        <v>484</v>
      </c>
      <c r="R2" s="126" t="s">
        <v>485</v>
      </c>
      <c r="S2" s="116" t="s">
        <v>665</v>
      </c>
      <c r="T2" s="126" t="s">
        <v>551</v>
      </c>
      <c r="U2" s="126" t="s">
        <v>486</v>
      </c>
      <c r="V2" s="173" t="s">
        <v>487</v>
      </c>
      <c r="W2" s="127" t="s">
        <v>488</v>
      </c>
      <c r="X2" s="126" t="s">
        <v>398</v>
      </c>
      <c r="Y2" s="126" t="s">
        <v>489</v>
      </c>
      <c r="Z2" s="127" t="s">
        <v>555</v>
      </c>
      <c r="AA2" s="127" t="s">
        <v>589</v>
      </c>
      <c r="AB2" s="127" t="s">
        <v>216</v>
      </c>
      <c r="AC2" s="189" t="s">
        <v>424</v>
      </c>
      <c r="AD2" s="175" t="s">
        <v>461</v>
      </c>
    </row>
    <row r="3" spans="1:31" ht="17.5" x14ac:dyDescent="0.35">
      <c r="A3" s="130">
        <v>2</v>
      </c>
      <c r="B3" s="165" t="s">
        <v>538</v>
      </c>
      <c r="C3" s="112"/>
      <c r="D3" s="110"/>
      <c r="E3" s="169"/>
      <c r="F3" s="112"/>
      <c r="G3" s="112"/>
      <c r="H3" s="112"/>
      <c r="I3" s="110"/>
      <c r="J3" s="112"/>
      <c r="K3" s="112"/>
      <c r="L3" s="112"/>
      <c r="M3" s="169">
        <v>2</v>
      </c>
      <c r="N3" s="169">
        <v>2</v>
      </c>
      <c r="O3" s="112"/>
      <c r="P3" s="112"/>
      <c r="Q3" s="112"/>
      <c r="R3" s="112"/>
      <c r="S3" s="128"/>
      <c r="T3" s="112"/>
      <c r="U3" s="112"/>
      <c r="V3" s="112"/>
      <c r="W3" s="110"/>
      <c r="X3" s="169">
        <v>2</v>
      </c>
      <c r="Y3" s="112"/>
      <c r="Z3" s="110"/>
      <c r="AA3" s="110">
        <v>2</v>
      </c>
      <c r="AB3" s="110"/>
      <c r="AC3" s="175">
        <v>2</v>
      </c>
    </row>
    <row r="4" spans="1:31" ht="18" x14ac:dyDescent="0.4">
      <c r="A4" s="130">
        <v>3</v>
      </c>
      <c r="B4" s="117" t="s">
        <v>490</v>
      </c>
      <c r="C4" s="108">
        <v>2</v>
      </c>
      <c r="D4" s="110"/>
      <c r="E4" s="110"/>
      <c r="F4" s="112"/>
      <c r="G4" s="112"/>
      <c r="H4" s="110"/>
      <c r="I4" s="110"/>
      <c r="J4" s="112">
        <v>2</v>
      </c>
      <c r="K4" s="112"/>
      <c r="L4" s="112">
        <v>2</v>
      </c>
      <c r="M4" s="112">
        <v>1</v>
      </c>
      <c r="N4" s="112">
        <v>1</v>
      </c>
      <c r="O4" s="102"/>
      <c r="P4" s="112"/>
      <c r="Q4" s="112"/>
      <c r="R4" s="112"/>
      <c r="S4" s="132">
        <v>2</v>
      </c>
      <c r="T4" s="175"/>
      <c r="U4" s="112">
        <v>2</v>
      </c>
      <c r="V4" s="112"/>
      <c r="W4" s="110"/>
      <c r="X4" s="175">
        <v>1</v>
      </c>
      <c r="Y4" s="112"/>
      <c r="Z4" s="110"/>
      <c r="AA4" s="110">
        <v>1</v>
      </c>
      <c r="AB4" s="110"/>
      <c r="AC4" s="105">
        <v>1</v>
      </c>
    </row>
    <row r="5" spans="1:31" ht="18" x14ac:dyDescent="0.4">
      <c r="A5" s="130">
        <v>4</v>
      </c>
      <c r="B5" s="117" t="s">
        <v>491</v>
      </c>
      <c r="C5" s="112"/>
      <c r="D5" s="110"/>
      <c r="E5" s="164">
        <v>2</v>
      </c>
      <c r="F5" s="112"/>
      <c r="G5" s="107">
        <v>2</v>
      </c>
      <c r="H5" s="107"/>
      <c r="I5" s="110"/>
      <c r="J5" s="112"/>
      <c r="K5" s="169">
        <v>2</v>
      </c>
      <c r="L5" s="112"/>
      <c r="M5" s="112">
        <v>1</v>
      </c>
      <c r="N5" s="112">
        <v>1</v>
      </c>
      <c r="O5" s="112"/>
      <c r="P5" s="112">
        <v>2</v>
      </c>
      <c r="Q5" s="112"/>
      <c r="R5" s="112"/>
      <c r="S5" s="128"/>
      <c r="T5" s="181">
        <v>2</v>
      </c>
      <c r="U5" s="112"/>
      <c r="V5" s="112">
        <v>2</v>
      </c>
      <c r="W5" s="171">
        <v>2</v>
      </c>
      <c r="X5" s="175">
        <v>1</v>
      </c>
      <c r="Y5" s="112"/>
      <c r="Z5" s="110">
        <v>2</v>
      </c>
      <c r="AA5" s="110">
        <v>1</v>
      </c>
      <c r="AB5" s="110">
        <v>2</v>
      </c>
      <c r="AC5" s="105">
        <v>1</v>
      </c>
      <c r="AD5" s="175">
        <v>2</v>
      </c>
    </row>
    <row r="6" spans="1:31" ht="36.9" customHeight="1" x14ac:dyDescent="0.4">
      <c r="A6" s="130">
        <v>7</v>
      </c>
      <c r="B6" s="117" t="s">
        <v>492</v>
      </c>
      <c r="C6" s="112"/>
      <c r="D6" s="110"/>
      <c r="E6" s="169">
        <v>2</v>
      </c>
      <c r="F6" s="112">
        <v>2</v>
      </c>
      <c r="G6" s="107">
        <v>2</v>
      </c>
      <c r="H6" s="107"/>
      <c r="I6" s="110"/>
      <c r="J6" s="112"/>
      <c r="K6" s="112"/>
      <c r="L6" s="112"/>
      <c r="M6" s="112">
        <v>1</v>
      </c>
      <c r="N6" s="112">
        <v>1</v>
      </c>
      <c r="O6" s="112"/>
      <c r="P6" s="112"/>
      <c r="Q6" s="104">
        <v>2</v>
      </c>
      <c r="R6" s="175">
        <v>2</v>
      </c>
      <c r="S6" s="132"/>
      <c r="T6" s="182">
        <v>2</v>
      </c>
      <c r="U6" s="112">
        <v>2</v>
      </c>
      <c r="V6" s="112"/>
      <c r="W6" s="110"/>
      <c r="X6" s="182">
        <v>1</v>
      </c>
      <c r="Y6" s="188">
        <v>2</v>
      </c>
      <c r="Z6" s="110"/>
      <c r="AA6" s="110">
        <v>2</v>
      </c>
      <c r="AB6" s="110"/>
      <c r="AC6" s="105">
        <v>1</v>
      </c>
    </row>
    <row r="7" spans="1:31" ht="18" x14ac:dyDescent="0.4">
      <c r="A7" s="130">
        <v>6</v>
      </c>
      <c r="B7" s="117" t="s">
        <v>493</v>
      </c>
      <c r="C7" s="112"/>
      <c r="D7" s="110"/>
      <c r="E7" s="164">
        <v>2</v>
      </c>
      <c r="F7" s="112">
        <v>2</v>
      </c>
      <c r="G7" s="112"/>
      <c r="H7" s="169">
        <v>2</v>
      </c>
      <c r="I7" s="110"/>
      <c r="J7" s="112">
        <v>2</v>
      </c>
      <c r="K7" s="112"/>
      <c r="L7" s="175">
        <v>2</v>
      </c>
      <c r="M7" s="112">
        <v>1</v>
      </c>
      <c r="N7" s="112">
        <v>1</v>
      </c>
      <c r="O7" s="112">
        <v>2</v>
      </c>
      <c r="P7" s="112"/>
      <c r="Q7" s="176">
        <v>2</v>
      </c>
      <c r="R7" s="175">
        <v>2</v>
      </c>
      <c r="S7" s="132"/>
      <c r="T7" s="181">
        <v>2</v>
      </c>
      <c r="U7" s="112">
        <v>2</v>
      </c>
      <c r="V7" s="112"/>
      <c r="W7" s="110">
        <v>2</v>
      </c>
      <c r="X7" s="182">
        <v>1</v>
      </c>
      <c r="Y7" s="112"/>
      <c r="Z7" s="110"/>
      <c r="AA7" s="110">
        <v>1</v>
      </c>
      <c r="AB7" s="110"/>
      <c r="AC7" s="105">
        <v>1</v>
      </c>
    </row>
    <row r="8" spans="1:31" ht="18" x14ac:dyDescent="0.4">
      <c r="A8" s="134">
        <v>8</v>
      </c>
      <c r="B8" s="116" t="s">
        <v>494</v>
      </c>
      <c r="C8" s="108">
        <v>2</v>
      </c>
      <c r="D8" s="110"/>
      <c r="E8" s="169">
        <v>2</v>
      </c>
      <c r="F8" s="112">
        <v>2</v>
      </c>
      <c r="G8" s="169">
        <v>2</v>
      </c>
      <c r="H8" s="169"/>
      <c r="I8" s="110"/>
      <c r="J8" s="112"/>
      <c r="K8" s="112"/>
      <c r="L8" s="112"/>
      <c r="M8" s="112"/>
      <c r="N8" s="112"/>
      <c r="O8" s="176">
        <v>2</v>
      </c>
      <c r="P8" s="112"/>
      <c r="Q8" s="104">
        <v>2</v>
      </c>
      <c r="R8" s="175">
        <v>2</v>
      </c>
      <c r="S8" s="132"/>
      <c r="T8" s="107">
        <v>2</v>
      </c>
      <c r="U8" s="112"/>
      <c r="V8" s="112"/>
      <c r="W8" s="110"/>
      <c r="X8" s="169">
        <v>2</v>
      </c>
      <c r="Y8" s="112"/>
      <c r="Z8" s="110">
        <v>2</v>
      </c>
      <c r="AA8" s="110"/>
      <c r="AB8" s="110">
        <v>2</v>
      </c>
      <c r="AC8" s="105"/>
    </row>
    <row r="9" spans="1:31" ht="67.25" customHeight="1" x14ac:dyDescent="0.4">
      <c r="A9" s="135">
        <v>11</v>
      </c>
      <c r="B9" s="116" t="s">
        <v>495</v>
      </c>
      <c r="C9" s="106"/>
      <c r="D9" s="110"/>
      <c r="E9" s="110"/>
      <c r="F9" s="112"/>
      <c r="G9" s="112"/>
      <c r="H9" s="112"/>
      <c r="I9" s="110"/>
      <c r="J9" s="112">
        <v>2</v>
      </c>
      <c r="K9" s="174">
        <v>2</v>
      </c>
      <c r="L9" s="112"/>
      <c r="M9" s="112"/>
      <c r="N9" s="112"/>
      <c r="O9" s="112"/>
      <c r="P9" s="112"/>
      <c r="Q9" s="112"/>
      <c r="R9" s="112"/>
      <c r="S9" s="128"/>
      <c r="T9" s="112"/>
      <c r="U9" s="112"/>
      <c r="V9" s="112"/>
      <c r="W9" s="110"/>
      <c r="X9" s="169">
        <v>2</v>
      </c>
      <c r="Y9" s="112"/>
      <c r="Z9" s="110">
        <v>2</v>
      </c>
      <c r="AA9" s="110"/>
      <c r="AB9" s="110"/>
      <c r="AC9" s="175">
        <v>2</v>
      </c>
    </row>
    <row r="10" spans="1:31" s="8" customFormat="1" ht="18" x14ac:dyDescent="0.4">
      <c r="A10" s="136">
        <v>9</v>
      </c>
      <c r="B10" s="116" t="s">
        <v>496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69">
        <v>2</v>
      </c>
      <c r="N10" s="169">
        <v>2</v>
      </c>
      <c r="O10" s="110"/>
      <c r="P10" s="110"/>
      <c r="Q10" s="110"/>
      <c r="R10" s="110"/>
      <c r="S10" s="129"/>
      <c r="T10" s="110"/>
      <c r="U10" s="110"/>
      <c r="V10" s="110">
        <v>2</v>
      </c>
      <c r="W10" s="110"/>
      <c r="X10" s="169">
        <v>2</v>
      </c>
      <c r="Y10" s="110"/>
      <c r="Z10" s="110"/>
      <c r="AA10" s="110"/>
      <c r="AB10" s="110"/>
      <c r="AC10" s="190"/>
      <c r="AD10" s="175"/>
      <c r="AE10" s="7"/>
    </row>
    <row r="11" spans="1:31" ht="18" x14ac:dyDescent="0.4">
      <c r="A11" s="137">
        <v>10</v>
      </c>
      <c r="B11" s="116" t="s">
        <v>497</v>
      </c>
      <c r="C11" s="112"/>
      <c r="D11" s="110">
        <v>2</v>
      </c>
      <c r="E11" s="110"/>
      <c r="F11" s="112">
        <v>2</v>
      </c>
      <c r="G11" s="112"/>
      <c r="H11" s="110">
        <v>2</v>
      </c>
      <c r="I11" s="110"/>
      <c r="J11" s="112"/>
      <c r="K11" s="112"/>
      <c r="L11" s="112"/>
      <c r="M11" s="169">
        <v>2</v>
      </c>
      <c r="N11" s="169">
        <v>2</v>
      </c>
      <c r="O11" s="112"/>
      <c r="P11" s="112">
        <v>2</v>
      </c>
      <c r="Q11" s="112"/>
      <c r="R11" s="175">
        <v>2</v>
      </c>
      <c r="S11" s="132"/>
      <c r="T11" s="175"/>
      <c r="U11" s="112"/>
      <c r="V11" s="112"/>
      <c r="W11" s="110"/>
      <c r="X11" s="175"/>
      <c r="Y11" s="112"/>
      <c r="Z11" s="110"/>
      <c r="AA11" s="110"/>
      <c r="AB11" s="110"/>
      <c r="AC11" s="105"/>
    </row>
    <row r="12" spans="1:31" ht="18" x14ac:dyDescent="0.4">
      <c r="A12" s="137">
        <v>56</v>
      </c>
      <c r="B12" s="116" t="s">
        <v>498</v>
      </c>
      <c r="C12" s="112"/>
      <c r="D12" s="110"/>
      <c r="E12" s="110"/>
      <c r="F12" s="112">
        <v>2</v>
      </c>
      <c r="G12" s="112"/>
      <c r="H12" s="169">
        <v>2</v>
      </c>
      <c r="I12" s="110"/>
      <c r="J12" s="112"/>
      <c r="K12" s="112"/>
      <c r="L12" s="112"/>
      <c r="M12" s="112"/>
      <c r="N12" s="112"/>
      <c r="O12" s="102">
        <v>2</v>
      </c>
      <c r="P12" s="112"/>
      <c r="Q12" s="112"/>
      <c r="R12" s="112"/>
      <c r="S12" s="128"/>
      <c r="T12" s="112"/>
      <c r="U12" s="112"/>
      <c r="V12" s="112"/>
      <c r="W12" s="110"/>
      <c r="X12" s="112"/>
      <c r="Y12" s="112"/>
      <c r="Z12" s="110"/>
      <c r="AA12" s="110"/>
      <c r="AB12" s="110"/>
      <c r="AC12" s="105"/>
    </row>
    <row r="13" spans="1:31" ht="18" x14ac:dyDescent="0.4">
      <c r="A13" s="138">
        <v>1</v>
      </c>
      <c r="B13" s="116" t="s">
        <v>499</v>
      </c>
      <c r="C13" s="108">
        <v>2</v>
      </c>
      <c r="D13" s="110"/>
      <c r="E13" s="110"/>
      <c r="F13" s="112"/>
      <c r="G13" s="112"/>
      <c r="H13" s="112"/>
      <c r="I13" s="110"/>
      <c r="J13" s="112"/>
      <c r="K13" s="112"/>
      <c r="L13" s="112"/>
      <c r="M13" s="112"/>
      <c r="N13" s="112"/>
      <c r="O13" s="112"/>
      <c r="P13" s="112"/>
      <c r="Q13" s="112"/>
      <c r="R13" s="112"/>
      <c r="S13" s="128"/>
      <c r="T13" s="112"/>
      <c r="U13" s="112"/>
      <c r="V13" s="112">
        <v>2</v>
      </c>
      <c r="W13" s="110"/>
      <c r="X13" s="187">
        <v>2</v>
      </c>
      <c r="Y13" s="112"/>
      <c r="Z13" s="110"/>
      <c r="AA13" s="110"/>
      <c r="AB13" s="110"/>
      <c r="AC13" s="105"/>
    </row>
    <row r="14" spans="1:31" ht="18" x14ac:dyDescent="0.4">
      <c r="A14" s="138">
        <v>13</v>
      </c>
      <c r="B14" s="116" t="s">
        <v>604</v>
      </c>
      <c r="C14" s="112"/>
      <c r="D14" s="110"/>
      <c r="E14" s="105">
        <v>2</v>
      </c>
      <c r="F14" s="112"/>
      <c r="G14" s="112"/>
      <c r="H14" s="112"/>
      <c r="I14" s="110"/>
      <c r="J14" s="112"/>
      <c r="K14" s="112"/>
      <c r="L14" s="112"/>
      <c r="M14" s="169">
        <v>2</v>
      </c>
      <c r="N14" s="169">
        <v>2</v>
      </c>
      <c r="O14" s="112"/>
      <c r="P14" s="112"/>
      <c r="Q14" s="104">
        <v>2</v>
      </c>
      <c r="R14" s="104"/>
      <c r="S14" s="133"/>
      <c r="T14" s="107">
        <v>2</v>
      </c>
      <c r="U14" s="112"/>
      <c r="V14" s="112"/>
      <c r="W14" s="110"/>
      <c r="X14" s="107"/>
      <c r="Y14" s="112"/>
      <c r="Z14" s="110"/>
      <c r="AA14" s="110"/>
      <c r="AB14" s="110"/>
      <c r="AC14" s="105"/>
    </row>
    <row r="15" spans="1:31" ht="17.5" x14ac:dyDescent="0.35">
      <c r="A15" s="139" t="s">
        <v>174</v>
      </c>
      <c r="B15" s="165" t="s">
        <v>539</v>
      </c>
      <c r="C15" s="108">
        <v>2</v>
      </c>
      <c r="D15" s="110"/>
      <c r="E15" s="110"/>
      <c r="F15" s="170"/>
      <c r="G15" s="170"/>
      <c r="H15" s="169">
        <v>2</v>
      </c>
      <c r="I15" s="110"/>
      <c r="J15" s="112">
        <v>2</v>
      </c>
      <c r="K15" s="112"/>
      <c r="L15" s="112"/>
      <c r="M15" s="169">
        <v>2</v>
      </c>
      <c r="N15" s="169">
        <v>2</v>
      </c>
      <c r="O15" s="109"/>
      <c r="P15" s="112"/>
      <c r="Q15" s="112"/>
      <c r="R15" s="175">
        <v>2</v>
      </c>
      <c r="S15" s="132"/>
      <c r="T15" s="175"/>
      <c r="U15" s="112"/>
      <c r="V15" s="112">
        <v>2</v>
      </c>
      <c r="W15" s="110"/>
      <c r="X15" s="175"/>
      <c r="Y15" s="112"/>
      <c r="Z15" s="110"/>
      <c r="AA15" s="110"/>
      <c r="AB15" s="110"/>
      <c r="AC15" s="105"/>
    </row>
    <row r="16" spans="1:31" ht="18" x14ac:dyDescent="0.4">
      <c r="A16" s="140">
        <v>89</v>
      </c>
      <c r="B16" s="117" t="s">
        <v>603</v>
      </c>
      <c r="C16" s="112">
        <v>1</v>
      </c>
      <c r="D16" s="110"/>
      <c r="E16" s="110"/>
      <c r="F16" s="112"/>
      <c r="G16" s="112"/>
      <c r="H16" s="112">
        <v>1</v>
      </c>
      <c r="I16" s="110"/>
      <c r="J16" s="112">
        <v>1</v>
      </c>
      <c r="K16" s="112"/>
      <c r="L16" s="112"/>
      <c r="M16" s="112">
        <v>1</v>
      </c>
      <c r="N16" s="112">
        <v>1</v>
      </c>
      <c r="O16" s="102">
        <v>2</v>
      </c>
      <c r="P16" s="112"/>
      <c r="Q16" s="112"/>
      <c r="R16" s="112">
        <v>1</v>
      </c>
      <c r="S16" s="128"/>
      <c r="T16" s="112"/>
      <c r="U16" s="112"/>
      <c r="V16" s="112">
        <v>1</v>
      </c>
      <c r="W16" s="110"/>
      <c r="X16" s="112"/>
      <c r="Y16" s="112"/>
      <c r="Z16" s="110"/>
      <c r="AA16" s="110"/>
      <c r="AB16" s="110"/>
      <c r="AC16" s="105"/>
    </row>
    <row r="17" spans="1:30" ht="18" x14ac:dyDescent="0.4">
      <c r="A17" s="138">
        <v>16</v>
      </c>
      <c r="B17" s="116" t="s">
        <v>605</v>
      </c>
      <c r="C17" s="112"/>
      <c r="D17" s="110">
        <v>2</v>
      </c>
      <c r="E17" s="169">
        <v>2</v>
      </c>
      <c r="F17" s="112">
        <v>2</v>
      </c>
      <c r="G17" s="112">
        <v>2</v>
      </c>
      <c r="H17" s="112"/>
      <c r="I17" s="107"/>
      <c r="J17" s="112"/>
      <c r="K17" s="112"/>
      <c r="L17" s="112"/>
      <c r="M17" s="169">
        <v>2</v>
      </c>
      <c r="N17" s="172">
        <v>2</v>
      </c>
      <c r="O17" s="102">
        <v>2</v>
      </c>
      <c r="P17" s="110">
        <v>2</v>
      </c>
      <c r="Q17" s="104">
        <v>2</v>
      </c>
      <c r="R17" s="175">
        <v>2</v>
      </c>
      <c r="S17" s="132">
        <v>2</v>
      </c>
      <c r="T17" s="107">
        <v>2</v>
      </c>
      <c r="U17" s="112"/>
      <c r="V17" s="112"/>
      <c r="W17" s="110"/>
      <c r="X17" s="107"/>
      <c r="Y17" s="112"/>
      <c r="Z17" s="110"/>
      <c r="AA17" s="110">
        <v>2</v>
      </c>
      <c r="AB17" s="110">
        <v>2</v>
      </c>
      <c r="AC17" s="105"/>
    </row>
    <row r="18" spans="1:30" ht="18" x14ac:dyDescent="0.4">
      <c r="A18" s="141" t="s">
        <v>163</v>
      </c>
      <c r="B18" s="116" t="s">
        <v>606</v>
      </c>
      <c r="C18" s="108"/>
      <c r="D18" s="110">
        <v>2</v>
      </c>
      <c r="E18" s="110"/>
      <c r="F18" s="112"/>
      <c r="G18" s="112"/>
      <c r="H18" s="112"/>
      <c r="I18" s="110">
        <v>2</v>
      </c>
      <c r="J18" s="112"/>
      <c r="K18" s="112"/>
      <c r="L18" s="112"/>
      <c r="M18" s="112"/>
      <c r="N18" s="112"/>
      <c r="O18" s="112"/>
      <c r="P18" s="112"/>
      <c r="Q18" s="112"/>
      <c r="R18" s="112"/>
      <c r="S18" s="128"/>
      <c r="T18" s="112"/>
      <c r="U18" s="112"/>
      <c r="V18" s="112"/>
      <c r="W18" s="110"/>
      <c r="X18" s="112"/>
      <c r="Y18" s="112"/>
      <c r="Z18" s="110"/>
      <c r="AA18" s="110"/>
      <c r="AB18" s="110"/>
      <c r="AC18" s="105"/>
    </row>
    <row r="19" spans="1:30" ht="84.75" customHeight="1" x14ac:dyDescent="0.4">
      <c r="A19" s="138">
        <v>20</v>
      </c>
      <c r="B19" s="116" t="s">
        <v>607</v>
      </c>
      <c r="C19" s="108"/>
      <c r="D19" s="110"/>
      <c r="E19" s="169">
        <v>2</v>
      </c>
      <c r="F19" s="112"/>
      <c r="G19" s="107">
        <v>2</v>
      </c>
      <c r="H19" s="110"/>
      <c r="I19" s="110"/>
      <c r="J19" s="112">
        <v>2</v>
      </c>
      <c r="K19" s="169">
        <v>2</v>
      </c>
      <c r="L19" s="169"/>
      <c r="M19" s="169"/>
      <c r="N19" s="169"/>
      <c r="O19" s="102"/>
      <c r="P19" s="112"/>
      <c r="Q19" s="112"/>
      <c r="R19" s="104">
        <v>2</v>
      </c>
      <c r="S19" s="133"/>
      <c r="T19" s="104"/>
      <c r="U19" s="112"/>
      <c r="V19" s="112"/>
      <c r="W19" s="110"/>
      <c r="X19" s="104"/>
      <c r="Y19" s="112"/>
      <c r="Z19" s="110"/>
      <c r="AA19" s="110"/>
      <c r="AB19" s="110"/>
      <c r="AC19" s="105"/>
    </row>
    <row r="20" spans="1:30" ht="71.400000000000006" customHeight="1" x14ac:dyDescent="0.4">
      <c r="A20" s="138">
        <v>21</v>
      </c>
      <c r="B20" s="116" t="s">
        <v>608</v>
      </c>
      <c r="C20" s="108">
        <v>2</v>
      </c>
      <c r="D20" s="110">
        <v>2</v>
      </c>
      <c r="E20" s="105">
        <v>2</v>
      </c>
      <c r="F20" s="112">
        <v>2</v>
      </c>
      <c r="G20" s="107">
        <v>2</v>
      </c>
      <c r="H20" s="172">
        <v>2</v>
      </c>
      <c r="I20" s="110">
        <v>2</v>
      </c>
      <c r="J20" s="112">
        <v>2</v>
      </c>
      <c r="K20" s="112"/>
      <c r="L20" s="175">
        <v>2</v>
      </c>
      <c r="M20" s="175"/>
      <c r="N20" s="175"/>
      <c r="O20" s="102">
        <v>2</v>
      </c>
      <c r="P20" s="110">
        <v>2</v>
      </c>
      <c r="Q20" s="176">
        <v>2</v>
      </c>
      <c r="R20" s="175">
        <v>2</v>
      </c>
      <c r="S20" s="90">
        <v>2</v>
      </c>
      <c r="T20" s="107">
        <v>2</v>
      </c>
      <c r="U20" s="112"/>
      <c r="V20" s="112">
        <v>2</v>
      </c>
      <c r="W20" s="110">
        <v>2</v>
      </c>
      <c r="X20" s="187">
        <v>2</v>
      </c>
      <c r="Y20" s="188">
        <v>2</v>
      </c>
      <c r="Z20" s="110"/>
      <c r="AA20" s="110"/>
      <c r="AB20" s="110">
        <v>2</v>
      </c>
      <c r="AC20" s="110">
        <v>2</v>
      </c>
      <c r="AD20" s="175">
        <v>2</v>
      </c>
    </row>
    <row r="21" spans="1:30" ht="18" x14ac:dyDescent="0.4">
      <c r="A21" s="138">
        <v>22</v>
      </c>
      <c r="B21" s="116" t="s">
        <v>609</v>
      </c>
      <c r="C21" s="108"/>
      <c r="D21" s="110"/>
      <c r="E21" s="110"/>
      <c r="F21" s="112"/>
      <c r="G21" s="112"/>
      <c r="H21" s="112"/>
      <c r="I21" s="110"/>
      <c r="J21" s="112"/>
      <c r="K21" s="112"/>
      <c r="L21" s="112"/>
      <c r="M21" s="112"/>
      <c r="N21" s="112"/>
      <c r="O21" s="177"/>
      <c r="P21" s="112"/>
      <c r="Q21" s="112"/>
      <c r="R21" s="112"/>
      <c r="S21" s="133"/>
      <c r="T21" s="104"/>
      <c r="U21" s="112"/>
      <c r="V21" s="112"/>
      <c r="W21" s="110"/>
      <c r="X21" s="104"/>
      <c r="Y21" s="112"/>
      <c r="Z21" s="110"/>
      <c r="AA21" s="110"/>
      <c r="AB21" s="110"/>
      <c r="AC21" s="105"/>
      <c r="AD21" s="175">
        <v>2</v>
      </c>
    </row>
    <row r="22" spans="1:30" ht="43" customHeight="1" x14ac:dyDescent="0.4">
      <c r="A22" s="142">
        <v>24</v>
      </c>
      <c r="B22" s="116" t="s">
        <v>610</v>
      </c>
      <c r="C22" s="112"/>
      <c r="D22" s="110">
        <v>2</v>
      </c>
      <c r="E22" s="110"/>
      <c r="F22" s="112">
        <v>2</v>
      </c>
      <c r="G22" s="112"/>
      <c r="H22" s="171">
        <v>2</v>
      </c>
      <c r="I22" s="110">
        <v>2</v>
      </c>
      <c r="J22" s="171">
        <v>2</v>
      </c>
      <c r="K22" s="112"/>
      <c r="L22" s="112"/>
      <c r="M22" s="169">
        <v>2</v>
      </c>
      <c r="N22" s="169">
        <v>2</v>
      </c>
      <c r="O22" s="178">
        <v>2</v>
      </c>
      <c r="P22" s="112"/>
      <c r="Q22" s="112"/>
      <c r="R22" s="176">
        <v>2</v>
      </c>
      <c r="S22" s="132">
        <v>2</v>
      </c>
      <c r="T22" s="175"/>
      <c r="U22" s="112"/>
      <c r="V22" s="112"/>
      <c r="W22" s="110"/>
      <c r="X22" s="169">
        <v>2</v>
      </c>
      <c r="Y22" s="112"/>
      <c r="Z22" s="110"/>
      <c r="AA22" s="110"/>
      <c r="AB22" s="110">
        <v>2</v>
      </c>
      <c r="AC22" s="191">
        <v>2</v>
      </c>
    </row>
    <row r="23" spans="1:30" ht="17.5" x14ac:dyDescent="0.35">
      <c r="A23" s="143">
        <v>25</v>
      </c>
      <c r="B23" s="165" t="s">
        <v>611</v>
      </c>
      <c r="C23" s="112"/>
      <c r="D23" s="110"/>
      <c r="E23" s="169">
        <v>2</v>
      </c>
      <c r="F23" s="112"/>
      <c r="G23" s="107">
        <v>2</v>
      </c>
      <c r="H23" s="107"/>
      <c r="I23" s="110"/>
      <c r="J23" s="112"/>
      <c r="K23" s="112"/>
      <c r="L23" s="112"/>
      <c r="M23" s="169">
        <v>2</v>
      </c>
      <c r="N23" s="169">
        <v>2</v>
      </c>
      <c r="O23" s="178">
        <v>2</v>
      </c>
      <c r="P23" s="110">
        <v>2</v>
      </c>
      <c r="Q23" s="110"/>
      <c r="R23" s="175">
        <v>2</v>
      </c>
      <c r="S23" s="132"/>
      <c r="T23" s="175"/>
      <c r="U23" s="112"/>
      <c r="V23" s="112"/>
      <c r="W23" s="110"/>
      <c r="X23" s="187">
        <v>2</v>
      </c>
      <c r="Y23" s="112"/>
      <c r="Z23" s="110"/>
      <c r="AA23" s="110"/>
      <c r="AB23" s="110">
        <v>2</v>
      </c>
      <c r="AC23" s="105"/>
    </row>
    <row r="24" spans="1:30" ht="18" x14ac:dyDescent="0.4">
      <c r="A24" s="143">
        <v>26</v>
      </c>
      <c r="B24" s="117" t="s">
        <v>537</v>
      </c>
      <c r="C24" s="112"/>
      <c r="D24" s="110"/>
      <c r="E24" s="110">
        <v>1</v>
      </c>
      <c r="F24" s="171">
        <v>2</v>
      </c>
      <c r="G24" s="112">
        <v>1</v>
      </c>
      <c r="H24" s="169">
        <v>2</v>
      </c>
      <c r="I24" s="110"/>
      <c r="J24" s="112">
        <v>2</v>
      </c>
      <c r="K24" s="112"/>
      <c r="L24" s="175">
        <v>2</v>
      </c>
      <c r="M24" s="175">
        <v>1</v>
      </c>
      <c r="N24" s="175">
        <v>1</v>
      </c>
      <c r="O24" s="102">
        <v>2</v>
      </c>
      <c r="P24" s="112">
        <v>1</v>
      </c>
      <c r="Q24" s="104">
        <v>2</v>
      </c>
      <c r="R24" s="104">
        <v>1</v>
      </c>
      <c r="S24" s="133"/>
      <c r="T24" s="104"/>
      <c r="U24" s="112"/>
      <c r="V24" s="112"/>
      <c r="W24" s="110"/>
      <c r="X24" s="104">
        <v>1</v>
      </c>
      <c r="Y24" s="112"/>
      <c r="Z24" s="110"/>
      <c r="AA24" s="110"/>
      <c r="AB24" s="110">
        <v>2</v>
      </c>
      <c r="AC24" s="105"/>
    </row>
    <row r="25" spans="1:30" ht="18" x14ac:dyDescent="0.4">
      <c r="A25" s="143">
        <v>36</v>
      </c>
      <c r="B25" s="117" t="s">
        <v>560</v>
      </c>
      <c r="C25" s="112"/>
      <c r="D25" s="110"/>
      <c r="E25" s="110">
        <v>1</v>
      </c>
      <c r="F25" s="112">
        <v>2</v>
      </c>
      <c r="G25" s="112">
        <v>1</v>
      </c>
      <c r="H25" s="169">
        <v>2</v>
      </c>
      <c r="I25" s="110"/>
      <c r="J25" s="112"/>
      <c r="K25" s="112"/>
      <c r="L25" s="112"/>
      <c r="M25" s="112">
        <v>1</v>
      </c>
      <c r="N25" s="112">
        <v>1</v>
      </c>
      <c r="O25" s="102">
        <v>2</v>
      </c>
      <c r="P25" s="112">
        <v>1</v>
      </c>
      <c r="Q25" s="112"/>
      <c r="R25" s="112">
        <v>1</v>
      </c>
      <c r="S25" s="128"/>
      <c r="T25" s="112"/>
      <c r="U25" s="112"/>
      <c r="V25" s="112"/>
      <c r="W25" s="110"/>
      <c r="X25" s="112">
        <v>1</v>
      </c>
      <c r="Y25" s="112"/>
      <c r="Z25" s="110"/>
      <c r="AA25" s="110"/>
      <c r="AB25" s="110">
        <v>1</v>
      </c>
      <c r="AC25" s="105"/>
    </row>
    <row r="26" spans="1:30" ht="18" x14ac:dyDescent="0.4">
      <c r="A26" s="144">
        <v>29</v>
      </c>
      <c r="B26" s="116" t="s">
        <v>501</v>
      </c>
      <c r="C26" s="112"/>
      <c r="D26" s="110"/>
      <c r="E26" s="169">
        <v>2</v>
      </c>
      <c r="F26" s="112">
        <v>2</v>
      </c>
      <c r="G26" s="112"/>
      <c r="H26" s="112"/>
      <c r="I26" s="110"/>
      <c r="J26" s="112"/>
      <c r="K26" s="112"/>
      <c r="L26" s="112"/>
      <c r="M26" s="169">
        <v>2</v>
      </c>
      <c r="N26" s="169">
        <v>2</v>
      </c>
      <c r="O26" s="102">
        <v>2</v>
      </c>
      <c r="P26" s="112"/>
      <c r="Q26" s="104">
        <v>2</v>
      </c>
      <c r="R26" s="104"/>
      <c r="S26" s="133"/>
      <c r="T26" s="104"/>
      <c r="U26" s="112"/>
      <c r="V26" s="112"/>
      <c r="W26" s="110"/>
      <c r="X26" s="104"/>
      <c r="Y26" s="112"/>
      <c r="Z26" s="110"/>
      <c r="AA26" s="110"/>
      <c r="AB26" s="110">
        <v>2</v>
      </c>
      <c r="AC26" s="105"/>
      <c r="AD26" s="175">
        <v>2</v>
      </c>
    </row>
    <row r="27" spans="1:30" ht="18" x14ac:dyDescent="0.4">
      <c r="A27" s="144">
        <v>33</v>
      </c>
      <c r="B27" s="116" t="s">
        <v>612</v>
      </c>
      <c r="C27" s="164">
        <v>2</v>
      </c>
      <c r="D27" s="110">
        <v>2</v>
      </c>
      <c r="E27" s="110"/>
      <c r="F27" s="112"/>
      <c r="G27" s="112"/>
      <c r="H27" s="112"/>
      <c r="I27" s="110"/>
      <c r="J27" s="112">
        <v>2</v>
      </c>
      <c r="K27" s="112"/>
      <c r="L27" s="175">
        <v>2</v>
      </c>
      <c r="M27" s="175"/>
      <c r="N27" s="175"/>
      <c r="O27" s="112"/>
      <c r="P27" s="112"/>
      <c r="Q27" s="112"/>
      <c r="R27" s="112"/>
      <c r="S27" s="90">
        <v>2</v>
      </c>
      <c r="T27" s="107"/>
      <c r="U27" s="112">
        <v>2</v>
      </c>
      <c r="V27" s="112">
        <v>2</v>
      </c>
      <c r="W27" s="110"/>
      <c r="X27" s="107"/>
      <c r="Y27" s="112"/>
      <c r="Z27" s="110">
        <v>2</v>
      </c>
      <c r="AA27" s="110"/>
      <c r="AB27" s="110"/>
      <c r="AC27" s="105"/>
    </row>
    <row r="28" spans="1:30" ht="42.25" customHeight="1" x14ac:dyDescent="0.4">
      <c r="A28" s="145">
        <v>35</v>
      </c>
      <c r="B28" s="116" t="s">
        <v>613</v>
      </c>
      <c r="C28" s="108">
        <v>2</v>
      </c>
      <c r="D28" s="110"/>
      <c r="E28" s="110"/>
      <c r="F28" s="112"/>
      <c r="G28" s="112"/>
      <c r="H28" s="112"/>
      <c r="I28" s="110"/>
      <c r="J28" s="112"/>
      <c r="K28" s="112"/>
      <c r="L28" s="112"/>
      <c r="M28" s="112"/>
      <c r="N28" s="112"/>
      <c r="O28" s="112"/>
      <c r="P28" s="112"/>
      <c r="Q28" s="112"/>
      <c r="R28" s="112"/>
      <c r="S28" s="128"/>
      <c r="T28" s="112"/>
      <c r="U28" s="112"/>
      <c r="V28" s="112"/>
      <c r="W28" s="110"/>
      <c r="X28" s="187">
        <v>2</v>
      </c>
      <c r="Y28" s="112"/>
      <c r="Z28" s="110"/>
      <c r="AA28" s="110"/>
      <c r="AB28" s="110"/>
      <c r="AC28" s="105"/>
      <c r="AD28" s="175">
        <v>2</v>
      </c>
    </row>
    <row r="29" spans="1:30" ht="72" customHeight="1" x14ac:dyDescent="0.4">
      <c r="A29" s="146" t="s">
        <v>467</v>
      </c>
      <c r="B29" s="116" t="s">
        <v>615</v>
      </c>
      <c r="C29" s="112"/>
      <c r="D29" s="164">
        <v>2</v>
      </c>
      <c r="E29" s="164">
        <v>2</v>
      </c>
      <c r="F29" s="112"/>
      <c r="G29" s="107">
        <v>2</v>
      </c>
      <c r="H29" s="169">
        <v>2</v>
      </c>
      <c r="I29" s="110">
        <v>2</v>
      </c>
      <c r="J29" s="112">
        <v>2</v>
      </c>
      <c r="K29" s="112"/>
      <c r="L29" s="175">
        <v>2</v>
      </c>
      <c r="M29" s="175"/>
      <c r="N29" s="175"/>
      <c r="O29" s="112"/>
      <c r="P29" s="110">
        <v>2</v>
      </c>
      <c r="Q29" s="104">
        <v>2</v>
      </c>
      <c r="R29" s="175">
        <v>2</v>
      </c>
      <c r="S29" s="132"/>
      <c r="T29" s="183">
        <v>2</v>
      </c>
      <c r="U29" s="112"/>
      <c r="V29" s="112"/>
      <c r="W29" s="110"/>
      <c r="X29" s="112"/>
      <c r="Y29" s="112"/>
      <c r="Z29" s="110"/>
      <c r="AA29" s="110"/>
      <c r="AB29" s="110"/>
      <c r="AC29" s="105"/>
    </row>
    <row r="30" spans="1:30" ht="80.5" customHeight="1" x14ac:dyDescent="0.4">
      <c r="A30" s="145">
        <v>54</v>
      </c>
      <c r="B30" s="116" t="s">
        <v>502</v>
      </c>
      <c r="C30" s="108">
        <v>2</v>
      </c>
      <c r="D30" s="110">
        <v>2</v>
      </c>
      <c r="E30" s="110"/>
      <c r="F30" s="112"/>
      <c r="G30" s="112"/>
      <c r="H30" s="169">
        <v>2</v>
      </c>
      <c r="I30" s="110"/>
      <c r="J30" s="112">
        <v>2</v>
      </c>
      <c r="K30" s="112"/>
      <c r="L30" s="112"/>
      <c r="M30" s="112"/>
      <c r="N30" s="112"/>
      <c r="O30" s="112"/>
      <c r="P30" s="112"/>
      <c r="Q30" s="112"/>
      <c r="R30" s="112"/>
      <c r="S30" s="128"/>
      <c r="T30" s="112"/>
      <c r="U30" s="112"/>
      <c r="V30" s="112">
        <v>2</v>
      </c>
      <c r="W30" s="110"/>
      <c r="X30" s="169">
        <v>2</v>
      </c>
      <c r="Y30" s="112"/>
      <c r="Z30" s="110"/>
      <c r="AA30" s="110"/>
      <c r="AB30" s="110"/>
      <c r="AC30" s="105"/>
    </row>
    <row r="31" spans="1:30" ht="17.5" x14ac:dyDescent="0.35">
      <c r="A31" s="145"/>
      <c r="B31" s="166" t="s">
        <v>540</v>
      </c>
      <c r="C31" s="108">
        <v>2</v>
      </c>
      <c r="D31" s="110"/>
      <c r="E31" s="110"/>
      <c r="F31" s="112"/>
      <c r="G31" s="107">
        <v>2</v>
      </c>
      <c r="H31" s="107"/>
      <c r="I31" s="110"/>
      <c r="J31" s="112"/>
      <c r="K31" s="169">
        <v>2</v>
      </c>
      <c r="L31" s="169"/>
      <c r="M31" s="169"/>
      <c r="N31" s="169"/>
      <c r="O31" s="112"/>
      <c r="P31" s="110">
        <v>2</v>
      </c>
      <c r="Q31" s="110"/>
      <c r="R31" s="175">
        <v>2</v>
      </c>
      <c r="S31" s="132"/>
      <c r="T31" s="175"/>
      <c r="U31" s="112"/>
      <c r="V31" s="112">
        <v>2</v>
      </c>
      <c r="W31" s="110"/>
      <c r="X31" s="175"/>
      <c r="Y31" s="112"/>
      <c r="Z31" s="110">
        <v>2</v>
      </c>
      <c r="AA31" s="110"/>
      <c r="AB31" s="110"/>
      <c r="AC31" s="105"/>
      <c r="AD31" s="175">
        <v>2</v>
      </c>
    </row>
    <row r="32" spans="1:30" ht="83" customHeight="1" x14ac:dyDescent="0.4">
      <c r="A32" s="145">
        <v>41</v>
      </c>
      <c r="B32" s="117" t="s">
        <v>503</v>
      </c>
      <c r="C32" s="108">
        <v>2</v>
      </c>
      <c r="D32" s="110">
        <v>2</v>
      </c>
      <c r="E32" s="110"/>
      <c r="F32" s="112"/>
      <c r="G32" s="112">
        <v>1</v>
      </c>
      <c r="H32" s="169">
        <v>2</v>
      </c>
      <c r="I32" s="110"/>
      <c r="J32" s="112">
        <v>2</v>
      </c>
      <c r="K32" s="112">
        <v>1</v>
      </c>
      <c r="L32" s="175">
        <v>2</v>
      </c>
      <c r="M32" s="175"/>
      <c r="N32" s="175"/>
      <c r="O32" s="112">
        <v>2</v>
      </c>
      <c r="P32" s="112">
        <v>1</v>
      </c>
      <c r="Q32" s="112"/>
      <c r="R32" s="175">
        <v>2</v>
      </c>
      <c r="S32" s="90">
        <v>2</v>
      </c>
      <c r="T32" s="107"/>
      <c r="U32" s="112"/>
      <c r="V32" s="112">
        <v>2</v>
      </c>
      <c r="W32" s="171">
        <v>2</v>
      </c>
      <c r="X32" s="169">
        <v>2</v>
      </c>
      <c r="Y32" s="112"/>
      <c r="Z32" s="180">
        <v>2</v>
      </c>
      <c r="AA32" s="110"/>
      <c r="AB32" s="110">
        <v>2</v>
      </c>
      <c r="AC32" s="175">
        <v>2</v>
      </c>
      <c r="AD32" s="175">
        <v>1</v>
      </c>
    </row>
    <row r="33" spans="1:30" ht="18" x14ac:dyDescent="0.4">
      <c r="A33" s="145">
        <v>42</v>
      </c>
      <c r="B33" s="117" t="s">
        <v>504</v>
      </c>
      <c r="C33" s="108">
        <v>1</v>
      </c>
      <c r="D33" s="110"/>
      <c r="E33" s="110"/>
      <c r="F33" s="112"/>
      <c r="G33" s="112">
        <v>1</v>
      </c>
      <c r="H33" s="112"/>
      <c r="I33" s="110"/>
      <c r="J33" s="112"/>
      <c r="K33" s="112">
        <v>1</v>
      </c>
      <c r="L33" s="112"/>
      <c r="M33" s="112"/>
      <c r="N33" s="112"/>
      <c r="O33" s="102">
        <v>2</v>
      </c>
      <c r="P33" s="112">
        <v>1</v>
      </c>
      <c r="Q33" s="112"/>
      <c r="R33" s="175">
        <v>2</v>
      </c>
      <c r="S33" s="132"/>
      <c r="T33" s="175"/>
      <c r="U33" s="112"/>
      <c r="V33" s="112">
        <v>1</v>
      </c>
      <c r="W33" s="110"/>
      <c r="X33" s="175"/>
      <c r="Y33" s="112"/>
      <c r="Z33" s="110">
        <v>1</v>
      </c>
      <c r="AA33" s="110"/>
      <c r="AB33" s="110"/>
      <c r="AC33" s="105"/>
      <c r="AD33" s="175">
        <v>1</v>
      </c>
    </row>
    <row r="34" spans="1:30" ht="18" x14ac:dyDescent="0.4">
      <c r="A34" s="145">
        <v>59</v>
      </c>
      <c r="B34" s="118" t="s">
        <v>614</v>
      </c>
      <c r="C34" s="108">
        <v>2</v>
      </c>
      <c r="D34" s="110"/>
      <c r="E34" s="110"/>
      <c r="F34" s="112"/>
      <c r="G34" s="112"/>
      <c r="H34" s="112"/>
      <c r="I34" s="110"/>
      <c r="J34" s="112"/>
      <c r="K34" s="112"/>
      <c r="L34" s="112"/>
      <c r="M34" s="112"/>
      <c r="N34" s="112"/>
      <c r="O34" s="112"/>
      <c r="P34" s="112"/>
      <c r="Q34" s="112"/>
      <c r="R34" s="112"/>
      <c r="S34" s="128"/>
      <c r="T34" s="112"/>
      <c r="U34" s="112"/>
      <c r="V34" s="112">
        <v>2</v>
      </c>
      <c r="W34" s="110"/>
      <c r="X34" s="112"/>
      <c r="Y34" s="112"/>
      <c r="Z34" s="110"/>
      <c r="AA34" s="110"/>
      <c r="AB34" s="110"/>
      <c r="AC34" s="105"/>
    </row>
    <row r="35" spans="1:30" ht="18" x14ac:dyDescent="0.4">
      <c r="A35" s="147">
        <v>62</v>
      </c>
      <c r="B35" s="116" t="s">
        <v>505</v>
      </c>
      <c r="C35" s="112"/>
      <c r="D35" s="110"/>
      <c r="E35" s="169">
        <v>2</v>
      </c>
      <c r="F35" s="112"/>
      <c r="G35" s="112"/>
      <c r="H35" s="112"/>
      <c r="I35" s="110"/>
      <c r="J35" s="112"/>
      <c r="K35" s="112"/>
      <c r="L35" s="112"/>
      <c r="M35" s="112"/>
      <c r="N35" s="112"/>
      <c r="O35" s="102">
        <v>2</v>
      </c>
      <c r="P35" s="110">
        <v>2</v>
      </c>
      <c r="Q35" s="104">
        <v>2</v>
      </c>
      <c r="R35" s="104"/>
      <c r="S35" s="133"/>
      <c r="T35" s="104"/>
      <c r="U35" s="112"/>
      <c r="V35" s="112"/>
      <c r="W35" s="110"/>
      <c r="X35" s="104"/>
      <c r="Y35" s="112"/>
      <c r="Z35" s="110"/>
      <c r="AA35" s="110"/>
      <c r="AB35" s="110"/>
      <c r="AC35" s="105"/>
    </row>
    <row r="36" spans="1:30" ht="61.25" customHeight="1" x14ac:dyDescent="0.4">
      <c r="A36" s="147">
        <v>63</v>
      </c>
      <c r="B36" s="116" t="s">
        <v>506</v>
      </c>
      <c r="C36" s="112"/>
      <c r="D36" s="110"/>
      <c r="E36" s="110"/>
      <c r="F36" s="112"/>
      <c r="G36" s="112"/>
      <c r="H36" s="112"/>
      <c r="I36" s="110"/>
      <c r="J36" s="112"/>
      <c r="K36" s="174">
        <v>2</v>
      </c>
      <c r="L36" s="112"/>
      <c r="M36" s="112"/>
      <c r="N36" s="112"/>
      <c r="O36" s="179">
        <v>2</v>
      </c>
      <c r="P36" s="112"/>
      <c r="Q36" s="112"/>
      <c r="R36" s="175">
        <v>2</v>
      </c>
      <c r="S36" s="132"/>
      <c r="T36" s="175"/>
      <c r="U36" s="112"/>
      <c r="V36" s="112">
        <v>2</v>
      </c>
      <c r="W36" s="110"/>
      <c r="X36" s="112">
        <v>2</v>
      </c>
      <c r="Y36" s="112"/>
      <c r="Z36" s="110"/>
      <c r="AA36" s="110"/>
      <c r="AB36" s="110"/>
      <c r="AC36" s="105"/>
    </row>
    <row r="37" spans="1:30" ht="17.5" x14ac:dyDescent="0.35">
      <c r="A37" s="148">
        <v>69</v>
      </c>
      <c r="B37" s="166" t="s">
        <v>541</v>
      </c>
      <c r="C37" s="108"/>
      <c r="D37" s="110"/>
      <c r="E37" s="110"/>
      <c r="F37" s="112"/>
      <c r="G37" s="112"/>
      <c r="H37" s="112"/>
      <c r="I37" s="110"/>
      <c r="J37" s="112"/>
      <c r="K37" s="112"/>
      <c r="L37" s="112"/>
      <c r="M37" s="112"/>
      <c r="N37" s="112"/>
      <c r="O37" s="112"/>
      <c r="P37" s="112"/>
      <c r="Q37" s="112"/>
      <c r="R37" s="175">
        <v>2</v>
      </c>
      <c r="S37" s="132"/>
      <c r="T37" s="175"/>
      <c r="U37" s="112"/>
      <c r="V37" s="112"/>
      <c r="W37" s="110"/>
      <c r="X37" s="169">
        <v>2</v>
      </c>
      <c r="Y37" s="112"/>
      <c r="Z37" s="110">
        <v>2</v>
      </c>
      <c r="AA37" s="110"/>
      <c r="AB37" s="110"/>
      <c r="AC37" s="105"/>
    </row>
    <row r="38" spans="1:30" ht="18" x14ac:dyDescent="0.4">
      <c r="A38" s="148">
        <v>70</v>
      </c>
      <c r="B38" s="117" t="s">
        <v>507</v>
      </c>
      <c r="C38" s="108">
        <v>2</v>
      </c>
      <c r="D38" s="110"/>
      <c r="E38" s="110"/>
      <c r="F38" s="112"/>
      <c r="G38" s="107">
        <v>2</v>
      </c>
      <c r="H38" s="107"/>
      <c r="I38" s="110"/>
      <c r="J38" s="112"/>
      <c r="K38" s="112"/>
      <c r="L38" s="112"/>
      <c r="M38" s="112"/>
      <c r="N38" s="112"/>
      <c r="O38" s="112"/>
      <c r="P38" s="112"/>
      <c r="Q38" s="112"/>
      <c r="R38" s="112">
        <v>1</v>
      </c>
      <c r="S38" s="128"/>
      <c r="T38" s="112"/>
      <c r="U38" s="112"/>
      <c r="V38" s="112">
        <v>2</v>
      </c>
      <c r="W38" s="110"/>
      <c r="X38" s="169">
        <v>2</v>
      </c>
      <c r="Y38" s="112"/>
      <c r="Z38" s="110">
        <v>1</v>
      </c>
      <c r="AA38" s="110"/>
      <c r="AB38" s="110"/>
      <c r="AC38" s="105"/>
    </row>
    <row r="39" spans="1:30" ht="18" x14ac:dyDescent="0.4">
      <c r="A39" s="148"/>
      <c r="B39" s="117" t="s">
        <v>508</v>
      </c>
      <c r="C39" s="108">
        <v>2</v>
      </c>
      <c r="D39" s="110"/>
      <c r="E39" s="110"/>
      <c r="F39" s="112"/>
      <c r="G39" s="112"/>
      <c r="H39" s="112"/>
      <c r="I39" s="110"/>
      <c r="J39" s="112"/>
      <c r="K39" s="112"/>
      <c r="L39" s="112"/>
      <c r="M39" s="112"/>
      <c r="N39" s="112"/>
      <c r="O39" s="112"/>
      <c r="P39" s="112"/>
      <c r="Q39" s="112"/>
      <c r="R39" s="112">
        <v>1</v>
      </c>
      <c r="S39" s="128"/>
      <c r="T39" s="112"/>
      <c r="U39" s="112"/>
      <c r="V39" s="184">
        <v>2</v>
      </c>
      <c r="W39" s="110"/>
      <c r="X39" s="112">
        <v>1</v>
      </c>
      <c r="Y39" s="112"/>
      <c r="Z39" s="110">
        <v>1</v>
      </c>
      <c r="AA39" s="110"/>
      <c r="AB39" s="110"/>
      <c r="AC39" s="105"/>
    </row>
    <row r="40" spans="1:30" ht="18" x14ac:dyDescent="0.4">
      <c r="A40" s="148"/>
      <c r="B40" s="117" t="s">
        <v>509</v>
      </c>
      <c r="C40" s="108"/>
      <c r="D40" s="110"/>
      <c r="E40" s="110"/>
      <c r="F40" s="112"/>
      <c r="G40" s="112"/>
      <c r="H40" s="112"/>
      <c r="I40" s="110"/>
      <c r="J40" s="112"/>
      <c r="K40" s="112"/>
      <c r="L40" s="112"/>
      <c r="M40" s="112"/>
      <c r="N40" s="112"/>
      <c r="O40" s="112"/>
      <c r="P40" s="110">
        <v>2</v>
      </c>
      <c r="Q40" s="110"/>
      <c r="R40" s="110">
        <v>1</v>
      </c>
      <c r="S40" s="129"/>
      <c r="T40" s="110"/>
      <c r="U40" s="112"/>
      <c r="V40" s="112"/>
      <c r="W40" s="110"/>
      <c r="X40" s="110">
        <v>1</v>
      </c>
      <c r="Y40" s="112"/>
      <c r="Z40" s="110">
        <v>1</v>
      </c>
      <c r="AA40" s="110"/>
      <c r="AB40" s="110"/>
      <c r="AC40" s="105"/>
    </row>
    <row r="41" spans="1:30" ht="18" x14ac:dyDescent="0.4">
      <c r="A41" s="149">
        <v>19</v>
      </c>
      <c r="B41" s="118" t="s">
        <v>510</v>
      </c>
      <c r="C41" s="108">
        <v>2</v>
      </c>
      <c r="D41" s="110"/>
      <c r="E41" s="103"/>
      <c r="F41" s="102">
        <v>2</v>
      </c>
      <c r="G41" s="102"/>
      <c r="H41" s="104">
        <v>2</v>
      </c>
      <c r="I41" s="110"/>
      <c r="J41" s="112">
        <v>2</v>
      </c>
      <c r="K41" s="169">
        <v>2</v>
      </c>
      <c r="L41" s="169"/>
      <c r="M41" s="169"/>
      <c r="N41" s="169"/>
      <c r="O41" s="102">
        <v>2</v>
      </c>
      <c r="P41" s="110">
        <v>2</v>
      </c>
      <c r="Q41" s="104">
        <v>2</v>
      </c>
      <c r="R41" s="104"/>
      <c r="S41" s="133"/>
      <c r="T41" s="104"/>
      <c r="U41" s="112"/>
      <c r="V41" s="112">
        <v>2</v>
      </c>
      <c r="W41" s="110"/>
      <c r="X41" s="104"/>
      <c r="Y41" s="112"/>
      <c r="Z41" s="110">
        <v>2</v>
      </c>
      <c r="AA41" s="110"/>
      <c r="AB41" s="110">
        <v>2</v>
      </c>
      <c r="AC41" s="175">
        <v>2</v>
      </c>
    </row>
    <row r="42" spans="1:30" ht="17.5" x14ac:dyDescent="0.35">
      <c r="A42" s="150">
        <v>43</v>
      </c>
      <c r="B42" s="166" t="s">
        <v>545</v>
      </c>
      <c r="C42" s="112"/>
      <c r="D42" s="110"/>
      <c r="E42" s="103"/>
      <c r="F42" s="102">
        <v>2</v>
      </c>
      <c r="G42" s="102"/>
      <c r="H42" s="102"/>
      <c r="I42" s="110"/>
      <c r="J42" s="112">
        <v>2</v>
      </c>
      <c r="K42" s="169">
        <v>2</v>
      </c>
      <c r="L42" s="169"/>
      <c r="M42" s="169"/>
      <c r="N42" s="169"/>
      <c r="O42" s="169"/>
      <c r="P42" s="112"/>
      <c r="Q42" s="112"/>
      <c r="R42" s="112"/>
      <c r="S42" s="128"/>
      <c r="T42" s="112"/>
      <c r="U42" s="112"/>
      <c r="V42" s="185">
        <v>2</v>
      </c>
      <c r="W42" s="110"/>
      <c r="X42" s="112"/>
      <c r="Y42" s="112"/>
      <c r="Z42" s="110"/>
      <c r="AA42" s="110"/>
      <c r="AB42" s="110"/>
      <c r="AC42" s="105"/>
    </row>
    <row r="43" spans="1:30" ht="18" x14ac:dyDescent="0.4">
      <c r="A43" s="151">
        <v>44</v>
      </c>
      <c r="B43" s="117" t="s">
        <v>511</v>
      </c>
      <c r="C43" s="112"/>
      <c r="D43" s="110"/>
      <c r="E43" s="103"/>
      <c r="F43" s="102">
        <v>1</v>
      </c>
      <c r="G43" s="107">
        <v>2</v>
      </c>
      <c r="H43" s="107"/>
      <c r="I43" s="110"/>
      <c r="J43" s="112">
        <v>1</v>
      </c>
      <c r="K43" s="112">
        <v>1</v>
      </c>
      <c r="L43" s="112"/>
      <c r="M43" s="112"/>
      <c r="N43" s="112"/>
      <c r="O43" s="102">
        <v>2</v>
      </c>
      <c r="P43" s="112"/>
      <c r="Q43" s="112"/>
      <c r="R43" s="112"/>
      <c r="S43" s="128"/>
      <c r="T43" s="112"/>
      <c r="U43" s="112"/>
      <c r="V43" s="112">
        <v>1</v>
      </c>
      <c r="W43" s="110"/>
      <c r="X43" s="112"/>
      <c r="Y43" s="112"/>
      <c r="Z43" s="110"/>
      <c r="AA43" s="110"/>
      <c r="AB43" s="110"/>
      <c r="AC43" s="105"/>
    </row>
    <row r="44" spans="1:30" ht="18" x14ac:dyDescent="0.4">
      <c r="A44" s="152">
        <v>45</v>
      </c>
      <c r="B44" s="117" t="s">
        <v>512</v>
      </c>
      <c r="C44" s="108">
        <v>2</v>
      </c>
      <c r="D44" s="110"/>
      <c r="E44" s="104">
        <v>2</v>
      </c>
      <c r="F44" s="102">
        <v>1</v>
      </c>
      <c r="G44" s="102"/>
      <c r="H44" s="104">
        <v>2</v>
      </c>
      <c r="I44" s="110"/>
      <c r="J44" s="112">
        <v>1</v>
      </c>
      <c r="K44" s="112">
        <v>1</v>
      </c>
      <c r="L44" s="112"/>
      <c r="M44" s="112"/>
      <c r="N44" s="112"/>
      <c r="O44" s="102">
        <v>2</v>
      </c>
      <c r="P44" s="112"/>
      <c r="Q44" s="104">
        <v>2</v>
      </c>
      <c r="R44" s="175">
        <v>2</v>
      </c>
      <c r="S44" s="132"/>
      <c r="T44" s="175"/>
      <c r="U44" s="112"/>
      <c r="V44" s="112">
        <v>1</v>
      </c>
      <c r="W44" s="110"/>
      <c r="X44" s="175"/>
      <c r="Y44" s="112"/>
      <c r="Z44" s="110"/>
      <c r="AA44" s="110"/>
      <c r="AB44" s="110"/>
      <c r="AC44" s="175">
        <v>2</v>
      </c>
    </row>
    <row r="45" spans="1:30" ht="17.5" x14ac:dyDescent="0.35">
      <c r="A45" s="153">
        <v>46</v>
      </c>
      <c r="B45" s="167" t="s">
        <v>550</v>
      </c>
      <c r="C45" s="108">
        <v>2</v>
      </c>
      <c r="D45" s="110"/>
      <c r="E45" s="103"/>
      <c r="F45" s="102">
        <v>2</v>
      </c>
      <c r="G45" s="102"/>
      <c r="H45" s="102"/>
      <c r="I45" s="110"/>
      <c r="J45" s="112"/>
      <c r="K45" s="169">
        <v>2</v>
      </c>
      <c r="L45" s="169"/>
      <c r="M45" s="169"/>
      <c r="N45" s="169"/>
      <c r="O45" s="102"/>
      <c r="P45" s="112"/>
      <c r="Q45" s="112"/>
      <c r="R45" s="112"/>
      <c r="S45" s="128"/>
      <c r="T45" s="112"/>
      <c r="U45" s="112"/>
      <c r="V45" s="112">
        <v>2</v>
      </c>
      <c r="W45" s="110"/>
      <c r="X45" s="112"/>
      <c r="Y45" s="112"/>
      <c r="Z45" s="110">
        <v>2</v>
      </c>
      <c r="AA45" s="110"/>
      <c r="AB45" s="110"/>
      <c r="AC45" s="105"/>
    </row>
    <row r="46" spans="1:30" ht="18" x14ac:dyDescent="0.4">
      <c r="A46" s="149">
        <v>47</v>
      </c>
      <c r="B46" s="117" t="s">
        <v>668</v>
      </c>
      <c r="C46" s="112">
        <v>1</v>
      </c>
      <c r="D46" s="110"/>
      <c r="E46" s="105">
        <v>2</v>
      </c>
      <c r="F46" s="102">
        <v>1</v>
      </c>
      <c r="G46" s="192">
        <v>2</v>
      </c>
      <c r="H46" s="103">
        <v>2</v>
      </c>
      <c r="I46" s="110"/>
      <c r="J46" s="112">
        <v>2</v>
      </c>
      <c r="K46" s="112">
        <v>1</v>
      </c>
      <c r="L46" s="112"/>
      <c r="M46" s="112"/>
      <c r="N46" s="112"/>
      <c r="O46" s="102">
        <v>2</v>
      </c>
      <c r="P46" s="112"/>
      <c r="Q46" s="104">
        <v>2</v>
      </c>
      <c r="R46" s="104"/>
      <c r="S46" s="133"/>
      <c r="T46" s="107">
        <v>2</v>
      </c>
      <c r="U46" s="112"/>
      <c r="V46" s="112">
        <v>1</v>
      </c>
      <c r="W46" s="110"/>
      <c r="X46" s="107"/>
      <c r="Y46" s="112"/>
      <c r="Z46" s="110">
        <v>1</v>
      </c>
      <c r="AA46" s="110"/>
      <c r="AB46" s="110"/>
      <c r="AC46" s="105"/>
    </row>
    <row r="47" spans="1:30" ht="18" x14ac:dyDescent="0.4">
      <c r="A47" s="154">
        <v>48</v>
      </c>
      <c r="B47" s="117" t="s">
        <v>514</v>
      </c>
      <c r="C47" s="112">
        <v>1</v>
      </c>
      <c r="D47" s="110"/>
      <c r="E47" s="103"/>
      <c r="F47" s="102">
        <v>1</v>
      </c>
      <c r="G47" s="102"/>
      <c r="H47" s="102"/>
      <c r="I47" s="110"/>
      <c r="J47" s="112"/>
      <c r="K47" s="112">
        <v>1</v>
      </c>
      <c r="L47" s="112"/>
      <c r="M47" s="112"/>
      <c r="N47" s="112"/>
      <c r="O47" s="102">
        <v>2</v>
      </c>
      <c r="P47" s="112"/>
      <c r="Q47" s="112"/>
      <c r="R47" s="112"/>
      <c r="S47" s="128"/>
      <c r="T47" s="112"/>
      <c r="U47" s="112"/>
      <c r="V47" s="112">
        <v>1</v>
      </c>
      <c r="W47" s="110"/>
      <c r="X47" s="112"/>
      <c r="Y47" s="112"/>
      <c r="Z47" s="110">
        <v>1</v>
      </c>
      <c r="AA47" s="110"/>
      <c r="AB47" s="110"/>
      <c r="AC47" s="105"/>
    </row>
    <row r="48" spans="1:30" ht="18" x14ac:dyDescent="0.4">
      <c r="A48" s="155">
        <v>49</v>
      </c>
      <c r="B48" s="117" t="s">
        <v>515</v>
      </c>
      <c r="C48" s="112">
        <v>1</v>
      </c>
      <c r="D48" s="110"/>
      <c r="E48" s="103"/>
      <c r="F48" s="102">
        <v>1</v>
      </c>
      <c r="G48" s="102"/>
      <c r="H48" s="102"/>
      <c r="I48" s="110"/>
      <c r="J48" s="112"/>
      <c r="K48" s="112">
        <v>1</v>
      </c>
      <c r="L48" s="112"/>
      <c r="M48" s="112"/>
      <c r="N48" s="112"/>
      <c r="O48" s="112"/>
      <c r="P48" s="112"/>
      <c r="Q48" s="112"/>
      <c r="R48" s="112"/>
      <c r="S48" s="128"/>
      <c r="T48" s="112"/>
      <c r="U48" s="112"/>
      <c r="V48" s="112">
        <v>1</v>
      </c>
      <c r="W48" s="110"/>
      <c r="X48" s="169">
        <v>2</v>
      </c>
      <c r="Y48" s="112"/>
      <c r="Z48" s="110">
        <v>1</v>
      </c>
      <c r="AA48" s="110"/>
      <c r="AB48" s="110"/>
      <c r="AC48" s="105"/>
    </row>
    <row r="49" spans="1:120" ht="18" x14ac:dyDescent="0.4">
      <c r="A49" s="156">
        <v>50</v>
      </c>
      <c r="B49" s="117" t="s">
        <v>516</v>
      </c>
      <c r="C49" s="112">
        <v>1</v>
      </c>
      <c r="D49" s="110"/>
      <c r="E49" s="103"/>
      <c r="F49" s="102">
        <v>1</v>
      </c>
      <c r="G49" s="102"/>
      <c r="H49" s="102"/>
      <c r="I49" s="110"/>
      <c r="J49" s="112"/>
      <c r="K49" s="112">
        <v>1</v>
      </c>
      <c r="L49" s="112"/>
      <c r="M49" s="112"/>
      <c r="N49" s="112"/>
      <c r="O49" s="112"/>
      <c r="P49" s="112"/>
      <c r="Q49" s="112"/>
      <c r="R49" s="112"/>
      <c r="S49" s="128"/>
      <c r="T49" s="112"/>
      <c r="U49" s="112"/>
      <c r="V49" s="112">
        <v>1</v>
      </c>
      <c r="W49" s="110"/>
      <c r="X49" s="169">
        <v>2</v>
      </c>
      <c r="Y49" s="112"/>
      <c r="Z49" s="110">
        <v>1</v>
      </c>
      <c r="AA49" s="110"/>
      <c r="AB49" s="110"/>
      <c r="AC49" s="105"/>
    </row>
    <row r="50" spans="1:120" ht="18" x14ac:dyDescent="0.4">
      <c r="A50" s="157">
        <v>51</v>
      </c>
      <c r="B50" s="117" t="s">
        <v>517</v>
      </c>
      <c r="C50" s="112">
        <v>1</v>
      </c>
      <c r="D50" s="110"/>
      <c r="E50" s="103"/>
      <c r="F50" s="102">
        <v>1</v>
      </c>
      <c r="G50" s="102"/>
      <c r="H50" s="103"/>
      <c r="I50" s="110"/>
      <c r="J50" s="112"/>
      <c r="K50" s="112">
        <v>1</v>
      </c>
      <c r="L50" s="112"/>
      <c r="M50" s="112"/>
      <c r="N50" s="112"/>
      <c r="O50" s="112"/>
      <c r="P50" s="112"/>
      <c r="Q50" s="112"/>
      <c r="R50" s="112"/>
      <c r="S50" s="128"/>
      <c r="T50" s="112"/>
      <c r="U50" s="112"/>
      <c r="V50" s="110">
        <v>1</v>
      </c>
      <c r="W50" s="110"/>
      <c r="X50" s="169">
        <v>2</v>
      </c>
      <c r="Y50" s="112"/>
      <c r="Z50" s="110">
        <v>1</v>
      </c>
      <c r="AA50" s="110"/>
      <c r="AB50" s="110"/>
      <c r="AC50" s="105"/>
    </row>
    <row r="51" spans="1:120" ht="18" x14ac:dyDescent="0.3">
      <c r="A51" s="149">
        <v>53</v>
      </c>
      <c r="B51" s="119" t="s">
        <v>518</v>
      </c>
      <c r="C51" s="108">
        <v>2</v>
      </c>
      <c r="D51" s="110"/>
      <c r="E51" s="103"/>
      <c r="F51" s="102"/>
      <c r="G51" s="102"/>
      <c r="H51" s="104">
        <v>2</v>
      </c>
      <c r="I51" s="110"/>
      <c r="J51" s="112"/>
      <c r="K51" s="112"/>
      <c r="L51" s="112"/>
      <c r="M51" s="112"/>
      <c r="N51" s="112"/>
      <c r="O51" s="112"/>
      <c r="P51" s="112"/>
      <c r="Q51" s="112"/>
      <c r="R51" s="112"/>
      <c r="S51" s="128"/>
      <c r="T51" s="112"/>
      <c r="U51" s="112"/>
      <c r="V51" s="112">
        <v>2</v>
      </c>
      <c r="W51" s="110"/>
      <c r="X51" s="187">
        <v>2</v>
      </c>
      <c r="Y51" s="112"/>
      <c r="Z51" s="110"/>
      <c r="AA51" s="110"/>
      <c r="AB51" s="110"/>
      <c r="AC51" s="105"/>
    </row>
    <row r="52" spans="1:120" s="9" customFormat="1" ht="17.5" x14ac:dyDescent="0.35">
      <c r="A52" s="158">
        <v>68</v>
      </c>
      <c r="B52" s="168" t="s">
        <v>544</v>
      </c>
      <c r="C52" s="112"/>
      <c r="D52" s="112"/>
      <c r="E52" s="102"/>
      <c r="F52" s="102">
        <v>2</v>
      </c>
      <c r="G52" s="107">
        <v>2</v>
      </c>
      <c r="H52" s="107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28"/>
      <c r="T52" s="112"/>
      <c r="U52" s="112"/>
      <c r="V52" s="112"/>
      <c r="W52" s="112"/>
      <c r="X52" s="112"/>
      <c r="Y52" s="112"/>
      <c r="Z52" s="112"/>
      <c r="AA52" s="112"/>
      <c r="AB52" s="112"/>
      <c r="AC52" s="106"/>
      <c r="AD52" s="175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</row>
    <row r="53" spans="1:120" s="9" customFormat="1" ht="18" x14ac:dyDescent="0.4">
      <c r="A53" s="158">
        <v>65</v>
      </c>
      <c r="B53" s="121" t="s">
        <v>583</v>
      </c>
      <c r="C53" s="112"/>
      <c r="D53" s="112"/>
      <c r="E53" s="102"/>
      <c r="F53" s="102">
        <v>1</v>
      </c>
      <c r="G53" s="102">
        <v>1</v>
      </c>
      <c r="H53" s="102"/>
      <c r="I53" s="112"/>
      <c r="J53" s="112"/>
      <c r="K53" s="112"/>
      <c r="L53" s="112"/>
      <c r="M53" s="112"/>
      <c r="N53" s="112"/>
      <c r="O53" s="112">
        <v>2</v>
      </c>
      <c r="P53" s="112"/>
      <c r="Q53" s="112"/>
      <c r="R53" s="175">
        <v>2</v>
      </c>
      <c r="S53" s="132"/>
      <c r="T53" s="175"/>
      <c r="U53" s="112"/>
      <c r="V53" s="112"/>
      <c r="W53" s="112"/>
      <c r="X53" s="175"/>
      <c r="Y53" s="112"/>
      <c r="Z53" s="112"/>
      <c r="AA53" s="112"/>
      <c r="AB53" s="112"/>
      <c r="AC53" s="106"/>
      <c r="AD53" s="175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</row>
    <row r="54" spans="1:120" s="9" customFormat="1" ht="18" x14ac:dyDescent="0.4">
      <c r="A54" s="158">
        <v>64</v>
      </c>
      <c r="B54" s="120" t="s">
        <v>519</v>
      </c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>
        <v>2</v>
      </c>
      <c r="Q54" s="112"/>
      <c r="R54" s="175">
        <v>2</v>
      </c>
      <c r="S54" s="132"/>
      <c r="T54" s="175"/>
      <c r="U54" s="112"/>
      <c r="V54" s="112"/>
      <c r="W54" s="112"/>
      <c r="X54" s="175"/>
      <c r="Y54" s="112"/>
      <c r="Z54" s="112"/>
      <c r="AA54" s="112"/>
      <c r="AB54" s="112"/>
      <c r="AC54" s="106"/>
      <c r="AD54" s="175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</row>
    <row r="55" spans="1:120" s="9" customFormat="1" ht="18" x14ac:dyDescent="0.4">
      <c r="A55" s="158">
        <v>67</v>
      </c>
      <c r="B55" s="120" t="s">
        <v>520</v>
      </c>
      <c r="C55" s="112"/>
      <c r="D55" s="112"/>
      <c r="E55" s="112"/>
      <c r="F55" s="112">
        <v>2</v>
      </c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28"/>
      <c r="T55" s="112"/>
      <c r="U55" s="112"/>
      <c r="V55" s="112"/>
      <c r="W55" s="112"/>
      <c r="X55" s="112"/>
      <c r="Y55" s="112"/>
      <c r="Z55" s="112"/>
      <c r="AA55" s="112"/>
      <c r="AB55" s="112"/>
      <c r="AC55" s="106"/>
      <c r="AD55" s="175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</row>
    <row r="56" spans="1:120" ht="18" x14ac:dyDescent="0.4">
      <c r="A56" s="159">
        <v>23</v>
      </c>
      <c r="B56" s="120" t="s">
        <v>616</v>
      </c>
      <c r="C56" s="112"/>
      <c r="D56" s="110"/>
      <c r="E56" s="169">
        <v>2</v>
      </c>
      <c r="F56" s="112"/>
      <c r="G56" s="112"/>
      <c r="H56" s="112"/>
      <c r="I56" s="110"/>
      <c r="J56" s="112"/>
      <c r="K56" s="112"/>
      <c r="L56" s="112"/>
      <c r="M56" s="112"/>
      <c r="N56" s="169">
        <v>2</v>
      </c>
      <c r="O56" s="102"/>
      <c r="P56" s="112"/>
      <c r="Q56" s="104">
        <v>2</v>
      </c>
      <c r="R56" s="104"/>
      <c r="S56" s="133"/>
      <c r="T56" s="104"/>
      <c r="U56" s="112"/>
      <c r="V56" s="112"/>
      <c r="W56" s="110"/>
      <c r="X56" s="104"/>
      <c r="Y56" s="112"/>
      <c r="Z56" s="110"/>
      <c r="AA56" s="110"/>
      <c r="AB56" s="110"/>
      <c r="AC56" s="105"/>
    </row>
    <row r="57" spans="1:120" ht="18" x14ac:dyDescent="0.4">
      <c r="A57" s="160">
        <v>72</v>
      </c>
      <c r="B57" s="120" t="s">
        <v>521</v>
      </c>
      <c r="C57" s="112"/>
      <c r="D57" s="110"/>
      <c r="E57" s="110"/>
      <c r="F57" s="112"/>
      <c r="G57" s="112"/>
      <c r="H57" s="112"/>
      <c r="I57" s="110"/>
      <c r="J57" s="112"/>
      <c r="K57" s="112"/>
      <c r="L57" s="112"/>
      <c r="M57" s="112"/>
      <c r="N57" s="112"/>
      <c r="O57" s="112"/>
      <c r="P57" s="112"/>
      <c r="Q57" s="112"/>
      <c r="R57" s="112"/>
      <c r="S57" s="128"/>
      <c r="T57" s="112"/>
      <c r="U57" s="112"/>
      <c r="V57" s="186"/>
      <c r="W57" s="110"/>
      <c r="X57" s="187">
        <v>2</v>
      </c>
      <c r="Y57" s="112"/>
      <c r="Z57" s="110"/>
      <c r="AA57" s="110"/>
      <c r="AB57" s="110"/>
      <c r="AC57" s="105"/>
    </row>
    <row r="58" spans="1:120" ht="18" x14ac:dyDescent="0.4">
      <c r="A58" s="160">
        <v>91</v>
      </c>
      <c r="B58" s="120" t="s">
        <v>522</v>
      </c>
      <c r="C58" s="112"/>
      <c r="D58" s="110"/>
      <c r="E58" s="110"/>
      <c r="F58" s="112"/>
      <c r="G58" s="112"/>
      <c r="H58" s="112"/>
      <c r="I58" s="110"/>
      <c r="J58" s="112"/>
      <c r="K58" s="112"/>
      <c r="L58" s="112"/>
      <c r="M58" s="169">
        <v>2</v>
      </c>
      <c r="N58" s="169">
        <v>2</v>
      </c>
      <c r="O58" s="112"/>
      <c r="P58" s="112"/>
      <c r="Q58" s="112"/>
      <c r="R58" s="112"/>
      <c r="S58" s="128"/>
      <c r="T58" s="112"/>
      <c r="U58" s="112"/>
      <c r="V58" s="112"/>
      <c r="W58" s="110"/>
      <c r="X58" s="112"/>
      <c r="Y58" s="112"/>
      <c r="Z58" s="110"/>
      <c r="AA58" s="110"/>
      <c r="AB58" s="110"/>
      <c r="AC58" s="105"/>
    </row>
    <row r="59" spans="1:120" ht="18" x14ac:dyDescent="0.4">
      <c r="A59" s="160">
        <v>74</v>
      </c>
      <c r="B59" s="120" t="s">
        <v>523</v>
      </c>
      <c r="C59" s="112"/>
      <c r="D59" s="110"/>
      <c r="E59" s="110"/>
      <c r="F59" s="112"/>
      <c r="G59" s="112"/>
      <c r="H59" s="112"/>
      <c r="I59" s="110"/>
      <c r="J59" s="112"/>
      <c r="K59" s="112"/>
      <c r="L59" s="112"/>
      <c r="M59" s="112"/>
      <c r="N59" s="112"/>
      <c r="O59" s="112"/>
      <c r="P59" s="112"/>
      <c r="Q59" s="112"/>
      <c r="R59" s="112"/>
      <c r="S59" s="128"/>
      <c r="T59" s="112"/>
      <c r="U59" s="112"/>
      <c r="V59" s="186"/>
      <c r="W59" s="110"/>
      <c r="X59" s="187">
        <v>2</v>
      </c>
      <c r="Y59" s="112"/>
      <c r="Z59" s="110"/>
      <c r="AA59" s="110"/>
      <c r="AB59" s="110"/>
      <c r="AC59" s="105"/>
    </row>
    <row r="60" spans="1:120" ht="18" x14ac:dyDescent="0.4">
      <c r="A60" s="160">
        <v>75</v>
      </c>
      <c r="B60" s="120" t="s">
        <v>524</v>
      </c>
      <c r="C60" s="108"/>
      <c r="D60" s="110"/>
      <c r="E60" s="110"/>
      <c r="F60" s="112"/>
      <c r="G60" s="112"/>
      <c r="H60" s="112"/>
      <c r="I60" s="110"/>
      <c r="J60" s="112"/>
      <c r="K60" s="112"/>
      <c r="L60" s="112"/>
      <c r="M60" s="112"/>
      <c r="N60" s="112"/>
      <c r="O60" s="112"/>
      <c r="P60" s="112"/>
      <c r="Q60" s="112"/>
      <c r="R60" s="112"/>
      <c r="S60" s="128"/>
      <c r="T60" s="112"/>
      <c r="U60" s="112"/>
      <c r="V60" s="112"/>
      <c r="W60" s="110"/>
      <c r="X60" s="169">
        <v>2</v>
      </c>
      <c r="Y60" s="112"/>
      <c r="Z60" s="110"/>
      <c r="AA60" s="110"/>
      <c r="AB60" s="110"/>
      <c r="AC60" s="105"/>
    </row>
    <row r="61" spans="1:120" ht="18" x14ac:dyDescent="0.4">
      <c r="A61" s="160">
        <v>76</v>
      </c>
      <c r="B61" s="120" t="s">
        <v>525</v>
      </c>
      <c r="C61" s="112"/>
      <c r="D61" s="110"/>
      <c r="E61" s="110"/>
      <c r="F61" s="112"/>
      <c r="G61" s="112"/>
      <c r="H61" s="112"/>
      <c r="I61" s="110"/>
      <c r="J61" s="112"/>
      <c r="K61" s="112"/>
      <c r="L61" s="112"/>
      <c r="M61" s="112"/>
      <c r="N61" s="112"/>
      <c r="O61" s="112"/>
      <c r="P61" s="112"/>
      <c r="Q61" s="112"/>
      <c r="R61" s="175">
        <v>2</v>
      </c>
      <c r="S61" s="132"/>
      <c r="T61" s="175"/>
      <c r="U61" s="112"/>
      <c r="V61" s="186"/>
      <c r="W61" s="110"/>
      <c r="X61" s="187">
        <v>2</v>
      </c>
      <c r="Y61" s="112"/>
      <c r="Z61" s="110"/>
      <c r="AA61" s="110"/>
      <c r="AB61" s="110"/>
      <c r="AC61" s="105"/>
    </row>
    <row r="62" spans="1:120" ht="18" x14ac:dyDescent="0.4">
      <c r="A62" s="160">
        <v>94</v>
      </c>
      <c r="B62" s="120" t="s">
        <v>617</v>
      </c>
      <c r="C62" s="112"/>
      <c r="D62" s="110"/>
      <c r="E62" s="110"/>
      <c r="F62" s="112"/>
      <c r="G62" s="112"/>
      <c r="H62" s="112"/>
      <c r="I62" s="110"/>
      <c r="J62" s="112"/>
      <c r="K62" s="112"/>
      <c r="L62" s="112"/>
      <c r="M62" s="169">
        <v>2</v>
      </c>
      <c r="N62" s="112"/>
      <c r="O62" s="112"/>
      <c r="P62" s="112"/>
      <c r="Q62" s="112"/>
      <c r="R62" s="112"/>
      <c r="S62" s="128"/>
      <c r="T62" s="112"/>
      <c r="U62" s="112"/>
      <c r="V62" s="112"/>
      <c r="W62" s="110"/>
      <c r="X62" s="112"/>
      <c r="Y62" s="112"/>
      <c r="Z62" s="110"/>
      <c r="AA62" s="110"/>
      <c r="AB62" s="110"/>
      <c r="AC62" s="105"/>
    </row>
    <row r="63" spans="1:120" ht="18" x14ac:dyDescent="0.4">
      <c r="A63" s="160">
        <v>92</v>
      </c>
      <c r="B63" s="120" t="s">
        <v>526</v>
      </c>
      <c r="C63" s="112"/>
      <c r="D63" s="110">
        <v>2</v>
      </c>
      <c r="E63" s="110"/>
      <c r="F63" s="112"/>
      <c r="G63" s="112"/>
      <c r="H63" s="112"/>
      <c r="I63" s="110"/>
      <c r="J63" s="112"/>
      <c r="K63" s="112"/>
      <c r="L63" s="112"/>
      <c r="M63" s="112">
        <v>2</v>
      </c>
      <c r="N63" s="169">
        <v>2</v>
      </c>
      <c r="O63" s="112"/>
      <c r="P63" s="112"/>
      <c r="Q63" s="112"/>
      <c r="R63" s="112"/>
      <c r="S63" s="128"/>
      <c r="T63" s="112"/>
      <c r="U63" s="112"/>
      <c r="V63" s="112"/>
      <c r="W63" s="110"/>
      <c r="X63" s="112"/>
      <c r="Y63" s="112"/>
      <c r="Z63" s="110"/>
      <c r="AA63" s="110"/>
      <c r="AB63" s="110"/>
      <c r="AC63" s="105"/>
    </row>
    <row r="64" spans="1:120" ht="18" x14ac:dyDescent="0.3">
      <c r="A64" s="160">
        <v>34</v>
      </c>
      <c r="B64" s="122" t="s">
        <v>618</v>
      </c>
      <c r="C64" s="112"/>
      <c r="D64" s="110"/>
      <c r="E64" s="110"/>
      <c r="F64" s="112"/>
      <c r="G64" s="112"/>
      <c r="H64" s="169">
        <v>2</v>
      </c>
      <c r="I64" s="110"/>
      <c r="J64" s="112">
        <v>2</v>
      </c>
      <c r="K64" s="112"/>
      <c r="L64" s="112"/>
      <c r="M64" s="112"/>
      <c r="N64" s="112"/>
      <c r="O64" s="112"/>
      <c r="P64" s="112"/>
      <c r="Q64" s="112"/>
      <c r="R64" s="112"/>
      <c r="S64" s="128"/>
      <c r="T64" s="112"/>
      <c r="U64" s="112"/>
      <c r="V64" s="112"/>
      <c r="W64" s="110"/>
      <c r="X64" s="112"/>
      <c r="Y64" s="112"/>
      <c r="Z64" s="110"/>
      <c r="AA64" s="110"/>
      <c r="AB64" s="110"/>
      <c r="AC64" s="105"/>
    </row>
    <row r="65" spans="1:30" ht="18" x14ac:dyDescent="0.4">
      <c r="A65" s="161">
        <v>58</v>
      </c>
      <c r="B65" s="120" t="s">
        <v>584</v>
      </c>
      <c r="C65" s="112"/>
      <c r="D65" s="110"/>
      <c r="E65" s="110"/>
      <c r="F65" s="112">
        <v>2</v>
      </c>
      <c r="G65" s="112"/>
      <c r="H65" s="112"/>
      <c r="I65" s="110"/>
      <c r="J65" s="112"/>
      <c r="K65" s="112"/>
      <c r="L65" s="112"/>
      <c r="M65" s="112"/>
      <c r="N65" s="112"/>
      <c r="O65" s="112"/>
      <c r="P65" s="112"/>
      <c r="Q65" s="112"/>
      <c r="R65" s="112"/>
      <c r="S65" s="128"/>
      <c r="T65" s="112"/>
      <c r="U65" s="112"/>
      <c r="V65" s="112"/>
      <c r="W65" s="110"/>
      <c r="X65" s="112"/>
      <c r="Y65" s="112"/>
      <c r="Z65" s="110"/>
      <c r="AA65" s="110"/>
      <c r="AB65" s="110"/>
      <c r="AC65" s="105"/>
    </row>
    <row r="66" spans="1:30" ht="18" x14ac:dyDescent="0.4">
      <c r="A66" s="162">
        <v>77</v>
      </c>
      <c r="B66" s="120" t="s">
        <v>585</v>
      </c>
      <c r="C66" s="112"/>
      <c r="D66" s="110"/>
      <c r="E66" s="110"/>
      <c r="F66" s="112">
        <v>2</v>
      </c>
      <c r="G66" s="112"/>
      <c r="H66" s="112"/>
      <c r="I66" s="110"/>
      <c r="J66" s="112"/>
      <c r="K66" s="112"/>
      <c r="L66" s="112"/>
      <c r="M66" s="112"/>
      <c r="N66" s="112"/>
      <c r="O66" s="112"/>
      <c r="P66" s="112"/>
      <c r="Q66" s="112"/>
      <c r="R66" s="112"/>
      <c r="S66" s="128"/>
      <c r="T66" s="112"/>
      <c r="U66" s="112"/>
      <c r="V66" s="112"/>
      <c r="W66" s="110"/>
      <c r="X66" s="112"/>
      <c r="Y66" s="112"/>
      <c r="Z66" s="110"/>
      <c r="AA66" s="110"/>
      <c r="AB66" s="110"/>
      <c r="AC66" s="105"/>
    </row>
    <row r="67" spans="1:30" ht="18" x14ac:dyDescent="0.4">
      <c r="A67" s="162">
        <v>78</v>
      </c>
      <c r="B67" s="120" t="s">
        <v>586</v>
      </c>
      <c r="C67" s="112"/>
      <c r="D67" s="110"/>
      <c r="E67" s="110"/>
      <c r="F67" s="112">
        <v>2</v>
      </c>
      <c r="G67" s="112"/>
      <c r="H67" s="112"/>
      <c r="I67" s="110"/>
      <c r="J67" s="112"/>
      <c r="K67" s="112"/>
      <c r="L67" s="112"/>
      <c r="M67" s="112"/>
      <c r="N67" s="112"/>
      <c r="O67" s="112"/>
      <c r="P67" s="112"/>
      <c r="Q67" s="112"/>
      <c r="R67" s="112"/>
      <c r="S67" s="128"/>
      <c r="T67" s="112"/>
      <c r="U67" s="112"/>
      <c r="V67" s="112"/>
      <c r="W67" s="110"/>
      <c r="X67" s="112"/>
      <c r="Y67" s="112"/>
      <c r="Z67" s="110"/>
      <c r="AA67" s="110"/>
      <c r="AB67" s="110"/>
      <c r="AC67" s="105"/>
    </row>
    <row r="68" spans="1:30" ht="18" x14ac:dyDescent="0.4">
      <c r="A68" s="163">
        <v>79</v>
      </c>
      <c r="B68" s="120" t="s">
        <v>587</v>
      </c>
      <c r="C68" s="112"/>
      <c r="D68" s="110"/>
      <c r="E68" s="110"/>
      <c r="F68" s="112">
        <v>2</v>
      </c>
      <c r="G68" s="112"/>
      <c r="H68" s="112"/>
      <c r="I68" s="110"/>
      <c r="J68" s="112"/>
      <c r="K68" s="112"/>
      <c r="L68" s="112"/>
      <c r="M68" s="112"/>
      <c r="N68" s="169">
        <v>2</v>
      </c>
      <c r="O68" s="112"/>
      <c r="P68" s="112"/>
      <c r="Q68" s="112"/>
      <c r="R68" s="175">
        <v>2</v>
      </c>
      <c r="S68" s="132"/>
      <c r="T68" s="175"/>
      <c r="U68" s="112"/>
      <c r="V68" s="112"/>
      <c r="W68" s="110"/>
      <c r="X68" s="175"/>
      <c r="Y68" s="112"/>
      <c r="Z68" s="110"/>
      <c r="AA68" s="110"/>
      <c r="AB68" s="110"/>
      <c r="AC68" s="105"/>
    </row>
    <row r="69" spans="1:30" ht="18" x14ac:dyDescent="0.4">
      <c r="A69" s="163">
        <v>81</v>
      </c>
      <c r="B69" s="120" t="s">
        <v>527</v>
      </c>
      <c r="C69" s="112"/>
      <c r="D69" s="110"/>
      <c r="E69" s="110"/>
      <c r="F69" s="112"/>
      <c r="G69" s="112"/>
      <c r="H69" s="112"/>
      <c r="I69" s="110"/>
      <c r="J69" s="112"/>
      <c r="K69" s="112"/>
      <c r="L69" s="112"/>
      <c r="M69" s="112"/>
      <c r="N69" s="112"/>
      <c r="O69" s="112"/>
      <c r="P69" s="110">
        <v>2</v>
      </c>
      <c r="Q69" s="110"/>
      <c r="R69" s="175">
        <v>2</v>
      </c>
      <c r="S69" s="132"/>
      <c r="T69" s="175"/>
      <c r="U69" s="112"/>
      <c r="V69" s="112"/>
      <c r="W69" s="110"/>
      <c r="X69" s="175"/>
      <c r="Y69" s="112"/>
      <c r="Z69" s="110"/>
      <c r="AA69" s="110"/>
      <c r="AB69" s="110"/>
      <c r="AC69" s="105"/>
    </row>
    <row r="70" spans="1:30" ht="18" x14ac:dyDescent="0.4">
      <c r="A70" s="163"/>
      <c r="B70" s="123" t="s">
        <v>619</v>
      </c>
      <c r="C70" s="112"/>
      <c r="D70" s="110"/>
      <c r="E70" s="110"/>
      <c r="F70" s="112">
        <v>2</v>
      </c>
      <c r="G70" s="112"/>
      <c r="H70" s="112"/>
      <c r="I70" s="110"/>
      <c r="J70" s="112"/>
      <c r="K70" s="112"/>
      <c r="L70" s="112"/>
      <c r="M70" s="112"/>
      <c r="N70" s="112"/>
      <c r="O70" s="112"/>
      <c r="P70" s="180">
        <v>2</v>
      </c>
      <c r="Q70" s="112"/>
      <c r="R70" s="175">
        <v>2</v>
      </c>
      <c r="S70" s="132"/>
      <c r="T70" s="175"/>
      <c r="U70" s="112"/>
      <c r="V70" s="112"/>
      <c r="W70" s="110"/>
      <c r="X70" s="175"/>
      <c r="Y70" s="112"/>
      <c r="Z70" s="110"/>
      <c r="AA70" s="110"/>
      <c r="AB70" s="110"/>
      <c r="AC70" s="105"/>
      <c r="AD70" s="175">
        <v>2</v>
      </c>
    </row>
    <row r="71" spans="1:30" ht="18" x14ac:dyDescent="0.4">
      <c r="A71" s="140">
        <v>88</v>
      </c>
      <c r="B71" s="120" t="s">
        <v>620</v>
      </c>
      <c r="C71" s="112"/>
      <c r="D71" s="110"/>
      <c r="E71" s="110"/>
      <c r="F71" s="112"/>
      <c r="G71" s="107">
        <v>2</v>
      </c>
      <c r="H71" s="107"/>
      <c r="I71" s="110"/>
      <c r="J71" s="112"/>
      <c r="K71" s="112"/>
      <c r="L71" s="112"/>
      <c r="M71" s="112"/>
      <c r="N71" s="112"/>
      <c r="O71" s="112"/>
      <c r="P71" s="112"/>
      <c r="Q71" s="112"/>
      <c r="R71" s="175">
        <v>2</v>
      </c>
      <c r="S71" s="132"/>
      <c r="T71" s="175"/>
      <c r="U71" s="112"/>
      <c r="V71" s="112"/>
      <c r="W71" s="110"/>
      <c r="X71" s="175"/>
      <c r="Y71" s="112"/>
      <c r="Z71" s="110"/>
      <c r="AA71" s="110"/>
      <c r="AB71" s="110"/>
      <c r="AC71" s="105"/>
    </row>
    <row r="72" spans="1:30" ht="18" x14ac:dyDescent="0.4">
      <c r="A72" s="140">
        <v>61</v>
      </c>
      <c r="B72" s="120" t="s">
        <v>528</v>
      </c>
      <c r="C72" s="112"/>
      <c r="D72" s="110"/>
      <c r="E72" s="110"/>
      <c r="F72" s="112"/>
      <c r="G72" s="107">
        <v>2</v>
      </c>
      <c r="H72" s="107"/>
      <c r="I72" s="110"/>
      <c r="J72" s="112"/>
      <c r="K72" s="112"/>
      <c r="L72" s="112"/>
      <c r="M72" s="112"/>
      <c r="N72" s="112"/>
      <c r="O72" s="112"/>
      <c r="P72" s="112"/>
      <c r="Q72" s="112"/>
      <c r="R72" s="112"/>
      <c r="S72" s="128"/>
      <c r="T72" s="112"/>
      <c r="U72" s="112"/>
      <c r="V72" s="112"/>
      <c r="W72" s="110"/>
      <c r="X72" s="112"/>
      <c r="Y72" s="112"/>
      <c r="Z72" s="110"/>
      <c r="AA72" s="110"/>
      <c r="AB72" s="110"/>
      <c r="AC72" s="105"/>
    </row>
    <row r="73" spans="1:30" ht="36" x14ac:dyDescent="0.4">
      <c r="A73" s="140">
        <v>31</v>
      </c>
      <c r="B73" s="120" t="s">
        <v>588</v>
      </c>
      <c r="C73" s="112"/>
      <c r="D73" s="110"/>
      <c r="E73" s="110"/>
      <c r="F73" s="112"/>
      <c r="G73" s="112"/>
      <c r="H73" s="112"/>
      <c r="I73" s="110"/>
      <c r="J73" s="112"/>
      <c r="K73" s="112"/>
      <c r="L73" s="112"/>
      <c r="M73" s="112"/>
      <c r="N73" s="112"/>
      <c r="O73" s="102">
        <v>2</v>
      </c>
      <c r="P73" s="112"/>
      <c r="Q73" s="112"/>
      <c r="R73" s="112"/>
      <c r="S73" s="128"/>
      <c r="T73" s="112"/>
      <c r="U73" s="112"/>
      <c r="V73" s="112"/>
      <c r="W73" s="110"/>
      <c r="X73" s="112"/>
      <c r="Y73" s="112"/>
      <c r="Z73" s="110"/>
      <c r="AA73" s="110"/>
      <c r="AB73" s="110"/>
      <c r="AC73" s="105"/>
    </row>
    <row r="74" spans="1:30" ht="18" x14ac:dyDescent="0.4">
      <c r="A74" s="128">
        <v>39</v>
      </c>
      <c r="B74" s="120" t="s">
        <v>529</v>
      </c>
      <c r="C74" s="108">
        <v>2</v>
      </c>
      <c r="D74" s="110"/>
      <c r="E74" s="110"/>
      <c r="F74" s="112">
        <v>2</v>
      </c>
      <c r="G74" s="112"/>
      <c r="H74" s="169">
        <v>2</v>
      </c>
      <c r="I74" s="110"/>
      <c r="J74" s="112">
        <v>2</v>
      </c>
      <c r="K74" s="112"/>
      <c r="L74" s="112"/>
      <c r="M74" s="112"/>
      <c r="N74" s="112"/>
      <c r="O74" s="102">
        <v>2</v>
      </c>
      <c r="P74" s="112"/>
      <c r="Q74" s="112"/>
      <c r="R74" s="112"/>
      <c r="S74" s="128"/>
      <c r="T74" s="112"/>
      <c r="U74" s="112"/>
      <c r="V74" s="112">
        <v>2</v>
      </c>
      <c r="W74" s="110"/>
      <c r="X74" s="112"/>
      <c r="Y74" s="112"/>
      <c r="Z74" s="110"/>
      <c r="AA74" s="110"/>
      <c r="AB74" s="110"/>
      <c r="AC74" s="175">
        <v>2</v>
      </c>
    </row>
    <row r="75" spans="1:30" ht="18" x14ac:dyDescent="0.4">
      <c r="A75" s="128">
        <v>40</v>
      </c>
      <c r="B75" s="120" t="s">
        <v>530</v>
      </c>
      <c r="C75" s="112"/>
      <c r="D75" s="110"/>
      <c r="E75" s="102">
        <v>2</v>
      </c>
      <c r="F75" s="112"/>
      <c r="G75" s="112"/>
      <c r="H75" s="112"/>
      <c r="I75" s="110"/>
      <c r="J75" s="112">
        <v>2</v>
      </c>
      <c r="K75" s="169">
        <v>2</v>
      </c>
      <c r="L75" s="169"/>
      <c r="M75" s="169"/>
      <c r="N75" s="169"/>
      <c r="O75" s="102">
        <v>2</v>
      </c>
      <c r="P75" s="110">
        <v>2</v>
      </c>
      <c r="Q75" s="104">
        <v>2</v>
      </c>
      <c r="R75" s="169">
        <v>2</v>
      </c>
      <c r="S75" s="131"/>
      <c r="T75" s="107">
        <v>2</v>
      </c>
      <c r="U75" s="112"/>
      <c r="V75" s="112"/>
      <c r="W75" s="110"/>
      <c r="X75" s="112"/>
      <c r="Y75" s="112"/>
      <c r="Z75" s="110">
        <v>2</v>
      </c>
      <c r="AA75" s="110"/>
      <c r="AB75" s="110">
        <v>2</v>
      </c>
      <c r="AC75" s="175">
        <v>2</v>
      </c>
    </row>
    <row r="76" spans="1:30" ht="18" x14ac:dyDescent="0.3">
      <c r="A76" s="128">
        <v>93</v>
      </c>
      <c r="B76" s="124" t="s">
        <v>531</v>
      </c>
      <c r="C76" s="112"/>
      <c r="D76" s="110"/>
      <c r="E76" s="110"/>
      <c r="F76" s="112"/>
      <c r="G76" s="112"/>
      <c r="H76" s="112"/>
      <c r="I76" s="110"/>
      <c r="J76" s="112"/>
      <c r="K76" s="112"/>
      <c r="L76" s="112"/>
      <c r="M76" s="169">
        <v>2</v>
      </c>
      <c r="N76" s="169">
        <v>2</v>
      </c>
      <c r="O76" s="112"/>
      <c r="P76" s="112"/>
      <c r="Q76" s="112"/>
      <c r="R76" s="112"/>
      <c r="S76" s="128"/>
      <c r="T76" s="112"/>
      <c r="U76" s="112"/>
      <c r="V76" s="112"/>
      <c r="W76" s="110"/>
      <c r="X76" s="112"/>
      <c r="Y76" s="112"/>
      <c r="Z76" s="110"/>
      <c r="AA76" s="110"/>
      <c r="AB76" s="110"/>
      <c r="AC76" s="105"/>
    </row>
    <row r="77" spans="1:30" ht="18" x14ac:dyDescent="0.4">
      <c r="A77" s="128">
        <v>57</v>
      </c>
      <c r="B77" s="120" t="s">
        <v>532</v>
      </c>
      <c r="C77" s="108">
        <v>2</v>
      </c>
      <c r="D77" s="110">
        <v>2</v>
      </c>
      <c r="E77" s="169">
        <v>2</v>
      </c>
      <c r="F77" s="112">
        <v>2</v>
      </c>
      <c r="G77" s="107">
        <v>2</v>
      </c>
      <c r="H77" s="169">
        <v>2</v>
      </c>
      <c r="I77" s="110">
        <v>2</v>
      </c>
      <c r="J77" s="112">
        <v>2</v>
      </c>
      <c r="K77" s="112"/>
      <c r="L77" s="112"/>
      <c r="M77" s="169">
        <v>2</v>
      </c>
      <c r="N77" s="112"/>
      <c r="O77" s="102">
        <v>2</v>
      </c>
      <c r="P77" s="112"/>
      <c r="Q77" s="104">
        <v>2</v>
      </c>
      <c r="R77" s="175">
        <v>2</v>
      </c>
      <c r="S77" s="132"/>
      <c r="T77" s="175"/>
      <c r="U77" s="112"/>
      <c r="V77" s="112">
        <v>2</v>
      </c>
      <c r="W77" s="110"/>
      <c r="X77" s="175"/>
      <c r="Y77" s="112"/>
      <c r="Z77" s="110"/>
      <c r="AA77" s="110">
        <v>2</v>
      </c>
      <c r="AB77" s="110">
        <v>2</v>
      </c>
      <c r="AC77" s="105"/>
    </row>
    <row r="78" spans="1:30" ht="18" x14ac:dyDescent="0.3">
      <c r="A78" s="128">
        <v>71</v>
      </c>
      <c r="B78" s="125" t="s">
        <v>674</v>
      </c>
      <c r="C78" s="112"/>
      <c r="D78" s="110">
        <v>2</v>
      </c>
      <c r="E78" s="110"/>
      <c r="F78" s="112">
        <v>2</v>
      </c>
      <c r="G78" s="112"/>
      <c r="H78" s="169">
        <v>2</v>
      </c>
      <c r="I78" s="110">
        <v>2</v>
      </c>
      <c r="J78" s="112">
        <v>2</v>
      </c>
      <c r="K78" s="169">
        <v>2</v>
      </c>
      <c r="L78" s="169"/>
      <c r="M78" s="172">
        <v>2</v>
      </c>
      <c r="N78" s="169"/>
      <c r="O78" s="178">
        <v>2</v>
      </c>
      <c r="P78" s="112"/>
      <c r="Q78" s="112"/>
      <c r="R78" s="175">
        <v>2</v>
      </c>
      <c r="S78" s="132">
        <v>2</v>
      </c>
      <c r="T78" s="175"/>
      <c r="U78" s="112"/>
      <c r="V78" s="112">
        <v>2</v>
      </c>
      <c r="W78" s="110"/>
      <c r="X78" s="169">
        <v>2</v>
      </c>
      <c r="Y78" s="112"/>
      <c r="Z78" s="110">
        <v>2</v>
      </c>
      <c r="AA78" s="110"/>
      <c r="AB78" s="110"/>
      <c r="AC78" s="175">
        <v>2</v>
      </c>
    </row>
    <row r="79" spans="1:30" s="125" customFormat="1" ht="18" x14ac:dyDescent="0.3">
      <c r="B79" s="125" t="s">
        <v>675</v>
      </c>
      <c r="K79" s="169">
        <v>2</v>
      </c>
      <c r="Z79" s="110">
        <v>2</v>
      </c>
    </row>
    <row r="80" spans="1:30" ht="36" x14ac:dyDescent="0.4">
      <c r="A80" s="111"/>
      <c r="B80" s="120" t="s">
        <v>621</v>
      </c>
      <c r="C80" s="106"/>
      <c r="D80" s="110"/>
      <c r="E80" s="110"/>
      <c r="F80" s="106"/>
      <c r="G80" s="106"/>
      <c r="H80" s="106"/>
      <c r="I80" s="110"/>
      <c r="J80" s="106"/>
      <c r="K80" s="106"/>
      <c r="L80" s="106"/>
      <c r="M80" s="169">
        <v>2</v>
      </c>
      <c r="N80" s="169">
        <v>2</v>
      </c>
      <c r="O80" s="106"/>
      <c r="P80" s="106"/>
      <c r="Q80" s="106"/>
      <c r="R80" s="106"/>
      <c r="S80" s="111"/>
      <c r="T80" s="106"/>
      <c r="U80" s="106"/>
      <c r="V80" s="106"/>
      <c r="W80" s="110"/>
      <c r="X80" s="106"/>
      <c r="Y80" s="112"/>
      <c r="Z80" s="110"/>
      <c r="AA80" s="110"/>
      <c r="AB80" s="110"/>
      <c r="AC80" s="105"/>
    </row>
    <row r="81" spans="1:31" ht="18" x14ac:dyDescent="0.4">
      <c r="A81" s="111"/>
      <c r="B81" s="120" t="s">
        <v>534</v>
      </c>
      <c r="C81" s="106"/>
      <c r="D81" s="110"/>
      <c r="E81" s="110"/>
      <c r="F81" s="106"/>
      <c r="G81" s="106"/>
      <c r="H81" s="106"/>
      <c r="I81" s="110"/>
      <c r="J81" s="106"/>
      <c r="K81" s="106"/>
      <c r="L81" s="106"/>
      <c r="M81" s="106"/>
      <c r="N81" s="169">
        <v>2</v>
      </c>
      <c r="O81" s="106"/>
      <c r="P81" s="106"/>
      <c r="Q81" s="106"/>
      <c r="R81" s="106"/>
      <c r="S81" s="111"/>
      <c r="T81" s="106"/>
      <c r="U81" s="106"/>
      <c r="V81" s="106"/>
      <c r="W81" s="110"/>
      <c r="X81" s="106"/>
      <c r="Y81" s="112"/>
      <c r="Z81" s="110"/>
      <c r="AA81" s="110"/>
      <c r="AB81" s="110"/>
      <c r="AC81" s="105"/>
    </row>
    <row r="82" spans="1:31" ht="18" x14ac:dyDescent="0.4">
      <c r="A82" s="111"/>
      <c r="B82" s="120" t="s">
        <v>678</v>
      </c>
      <c r="C82" s="106"/>
      <c r="D82" s="110"/>
      <c r="E82" s="110"/>
      <c r="F82" s="106"/>
      <c r="G82" s="106"/>
      <c r="H82" s="106"/>
      <c r="I82" s="110"/>
      <c r="J82" s="106"/>
      <c r="K82" s="106"/>
      <c r="L82" s="106"/>
      <c r="M82" s="106"/>
      <c r="N82" s="169">
        <v>2</v>
      </c>
      <c r="O82" s="106"/>
      <c r="P82" s="106"/>
      <c r="Q82" s="106"/>
      <c r="R82" s="106"/>
      <c r="S82" s="111"/>
      <c r="T82" s="106"/>
      <c r="U82" s="106"/>
      <c r="V82" s="106"/>
      <c r="W82" s="110"/>
      <c r="X82" s="106"/>
      <c r="Y82" s="112"/>
      <c r="Z82" s="110"/>
      <c r="AA82" s="110"/>
      <c r="AB82" s="110"/>
      <c r="AC82" s="105"/>
    </row>
    <row r="83" spans="1:31" ht="18" x14ac:dyDescent="0.4">
      <c r="A83" s="111"/>
      <c r="B83" s="120" t="s">
        <v>622</v>
      </c>
      <c r="C83" s="106"/>
      <c r="D83" s="110"/>
      <c r="E83" s="110"/>
      <c r="F83" s="106"/>
      <c r="G83" s="106"/>
      <c r="H83" s="106"/>
      <c r="I83" s="110"/>
      <c r="J83" s="106"/>
      <c r="K83" s="106"/>
      <c r="L83" s="106"/>
      <c r="M83" s="106"/>
      <c r="N83" s="106"/>
      <c r="O83" s="106"/>
      <c r="P83" s="106"/>
      <c r="Q83" s="106"/>
      <c r="R83" s="175">
        <v>2</v>
      </c>
      <c r="S83" s="132"/>
      <c r="T83" s="175"/>
      <c r="U83" s="106"/>
      <c r="V83" s="106"/>
      <c r="W83" s="110"/>
      <c r="X83" s="175"/>
      <c r="Y83" s="112"/>
      <c r="Z83" s="110"/>
      <c r="AA83" s="110"/>
      <c r="AB83" s="110"/>
      <c r="AC83" s="105"/>
    </row>
    <row r="84" spans="1:31" ht="18" x14ac:dyDescent="0.4">
      <c r="A84" s="111"/>
      <c r="B84" s="120" t="s">
        <v>535</v>
      </c>
      <c r="C84" s="106"/>
      <c r="D84" s="110"/>
      <c r="E84" s="110"/>
      <c r="F84" s="106"/>
      <c r="G84" s="106"/>
      <c r="H84" s="106"/>
      <c r="I84" s="110"/>
      <c r="J84" s="106"/>
      <c r="K84" s="106"/>
      <c r="L84" s="106"/>
      <c r="M84" s="106"/>
      <c r="N84" s="106"/>
      <c r="O84" s="106"/>
      <c r="P84" s="106"/>
      <c r="Q84" s="106"/>
      <c r="R84" s="175">
        <v>2</v>
      </c>
      <c r="S84" s="132"/>
      <c r="T84" s="175"/>
      <c r="U84" s="106"/>
      <c r="V84" s="106"/>
      <c r="W84" s="110"/>
      <c r="X84" s="175"/>
      <c r="Y84" s="112"/>
      <c r="Z84" s="110"/>
      <c r="AA84" s="110"/>
      <c r="AB84" s="110"/>
      <c r="AC84" s="105"/>
    </row>
    <row r="85" spans="1:31" ht="18" x14ac:dyDescent="0.4">
      <c r="A85" s="111"/>
      <c r="B85" s="116" t="s">
        <v>536</v>
      </c>
      <c r="C85" s="106"/>
      <c r="D85" s="110"/>
      <c r="E85" s="110"/>
      <c r="F85" s="106"/>
      <c r="G85" s="106"/>
      <c r="H85" s="106"/>
      <c r="I85" s="110"/>
      <c r="J85" s="106"/>
      <c r="K85" s="106"/>
      <c r="L85" s="106"/>
      <c r="M85" s="106"/>
      <c r="N85" s="106"/>
      <c r="O85" s="106"/>
      <c r="P85" s="106"/>
      <c r="Q85" s="106"/>
      <c r="R85" s="106"/>
      <c r="S85" s="111"/>
      <c r="T85" s="106"/>
      <c r="U85" s="106"/>
      <c r="V85" s="106"/>
      <c r="W85" s="110"/>
      <c r="X85" s="187">
        <v>2</v>
      </c>
      <c r="Y85" s="112"/>
      <c r="Z85" s="110"/>
      <c r="AA85" s="110"/>
      <c r="AB85" s="110"/>
      <c r="AC85" s="105"/>
    </row>
    <row r="86" spans="1:31" ht="18" x14ac:dyDescent="0.4">
      <c r="A86" s="111"/>
      <c r="B86" s="116" t="s">
        <v>623</v>
      </c>
      <c r="C86" s="106"/>
      <c r="D86" s="110"/>
      <c r="E86" s="110"/>
      <c r="F86" s="106"/>
      <c r="G86" s="106"/>
      <c r="H86" s="106"/>
      <c r="I86" s="110"/>
      <c r="J86" s="106"/>
      <c r="K86" s="106"/>
      <c r="L86" s="106"/>
      <c r="M86" s="106"/>
      <c r="N86" s="106"/>
      <c r="O86" s="106"/>
      <c r="P86" s="106"/>
      <c r="Q86" s="106"/>
      <c r="R86" s="106"/>
      <c r="S86" s="111"/>
      <c r="T86" s="106"/>
      <c r="U86" s="106"/>
      <c r="V86" s="106"/>
      <c r="W86" s="110"/>
      <c r="X86" s="106"/>
      <c r="Y86" s="112"/>
      <c r="Z86" s="110"/>
      <c r="AA86" s="110"/>
      <c r="AB86" s="110"/>
      <c r="AC86" s="175">
        <v>2</v>
      </c>
    </row>
    <row r="87" spans="1:31" ht="18" x14ac:dyDescent="0.4">
      <c r="A87" s="111"/>
      <c r="B87" s="116" t="s">
        <v>624</v>
      </c>
      <c r="C87" s="106"/>
      <c r="D87" s="110"/>
      <c r="E87" s="110"/>
      <c r="F87" s="106"/>
      <c r="G87" s="106"/>
      <c r="H87" s="106"/>
      <c r="I87" s="110"/>
      <c r="J87" s="106"/>
      <c r="K87" s="106"/>
      <c r="L87" s="106"/>
      <c r="M87" s="106"/>
      <c r="N87" s="106"/>
      <c r="O87" s="106"/>
      <c r="P87" s="106"/>
      <c r="Q87" s="106"/>
      <c r="R87" s="106"/>
      <c r="S87" s="111"/>
      <c r="T87" s="106"/>
      <c r="U87" s="106"/>
      <c r="V87" s="106"/>
      <c r="W87" s="110"/>
      <c r="X87" s="106"/>
      <c r="Y87" s="112"/>
      <c r="Z87" s="110"/>
      <c r="AA87" s="110"/>
      <c r="AB87" s="110"/>
      <c r="AC87" s="105"/>
      <c r="AD87" s="175">
        <v>2</v>
      </c>
    </row>
    <row r="88" spans="1:31" x14ac:dyDescent="0.3">
      <c r="B88" s="193" t="s">
        <v>676</v>
      </c>
      <c r="C88" s="97">
        <f t="shared" ref="C88:AD88" si="0">COUNTIF(C3:C87,2)</f>
        <v>19</v>
      </c>
      <c r="D88" s="97">
        <f t="shared" si="0"/>
        <v>12</v>
      </c>
      <c r="E88" s="97">
        <f t="shared" si="0"/>
        <v>17</v>
      </c>
      <c r="F88" s="97">
        <f t="shared" si="0"/>
        <v>24</v>
      </c>
      <c r="G88" s="97">
        <f t="shared" si="0"/>
        <v>16</v>
      </c>
      <c r="H88" s="97">
        <f t="shared" si="0"/>
        <v>19</v>
      </c>
      <c r="I88" s="97">
        <f t="shared" si="0"/>
        <v>6</v>
      </c>
      <c r="J88" s="97">
        <f t="shared" si="0"/>
        <v>20</v>
      </c>
      <c r="K88" s="97">
        <f t="shared" si="0"/>
        <v>11</v>
      </c>
      <c r="L88" s="97">
        <f t="shared" si="0"/>
        <v>7</v>
      </c>
      <c r="M88" s="97">
        <f t="shared" si="0"/>
        <v>16</v>
      </c>
      <c r="N88" s="97">
        <f t="shared" si="0"/>
        <v>17</v>
      </c>
      <c r="O88" s="97">
        <f t="shared" si="0"/>
        <v>26</v>
      </c>
      <c r="P88" s="97">
        <f t="shared" si="0"/>
        <v>14</v>
      </c>
      <c r="Q88" s="97">
        <f t="shared" si="0"/>
        <v>16</v>
      </c>
      <c r="R88" s="97">
        <f t="shared" si="0"/>
        <v>29</v>
      </c>
      <c r="S88" s="97">
        <f t="shared" si="0"/>
        <v>7</v>
      </c>
      <c r="T88" s="97">
        <f t="shared" si="0"/>
        <v>10</v>
      </c>
      <c r="U88" s="97">
        <f t="shared" si="0"/>
        <v>4</v>
      </c>
      <c r="V88" s="97">
        <f t="shared" si="0"/>
        <v>20</v>
      </c>
      <c r="W88" s="97">
        <f t="shared" si="0"/>
        <v>4</v>
      </c>
      <c r="X88" s="97">
        <f t="shared" si="0"/>
        <v>24</v>
      </c>
      <c r="Y88" s="97">
        <f t="shared" si="0"/>
        <v>2</v>
      </c>
      <c r="Z88" s="97">
        <f t="shared" si="0"/>
        <v>12</v>
      </c>
      <c r="AA88" s="97">
        <f t="shared" si="0"/>
        <v>4</v>
      </c>
      <c r="AB88" s="97">
        <f t="shared" si="0"/>
        <v>12</v>
      </c>
      <c r="AC88" s="97">
        <f t="shared" si="0"/>
        <v>11</v>
      </c>
      <c r="AD88" s="175">
        <f t="shared" si="0"/>
        <v>8</v>
      </c>
      <c r="AE88" s="1">
        <f>SUM(C88:AD88)</f>
        <v>387</v>
      </c>
    </row>
    <row r="89" spans="1:31" x14ac:dyDescent="0.3">
      <c r="B89" s="193" t="s">
        <v>569</v>
      </c>
      <c r="C89" s="97">
        <v>20</v>
      </c>
      <c r="D89" s="98">
        <v>13</v>
      </c>
      <c r="E89" s="98">
        <v>20</v>
      </c>
      <c r="F89" s="97">
        <v>27</v>
      </c>
      <c r="G89" s="97">
        <v>18</v>
      </c>
      <c r="H89" s="97">
        <v>21</v>
      </c>
      <c r="I89" s="98">
        <v>6</v>
      </c>
      <c r="J89" s="97">
        <v>21</v>
      </c>
      <c r="K89" s="97">
        <v>9</v>
      </c>
      <c r="L89" s="97">
        <v>7</v>
      </c>
      <c r="M89" s="97">
        <v>17</v>
      </c>
      <c r="N89" s="97">
        <v>18</v>
      </c>
      <c r="O89" s="97">
        <v>33</v>
      </c>
      <c r="P89" s="97">
        <v>20</v>
      </c>
      <c r="Q89" s="97">
        <v>20</v>
      </c>
      <c r="R89" s="97">
        <v>31</v>
      </c>
      <c r="S89" s="97">
        <v>7</v>
      </c>
      <c r="T89" s="97">
        <v>13</v>
      </c>
      <c r="U89" s="100">
        <v>4</v>
      </c>
      <c r="V89" s="97">
        <v>20</v>
      </c>
      <c r="W89" s="98">
        <v>7</v>
      </c>
      <c r="X89" s="97">
        <v>24</v>
      </c>
      <c r="Y89" s="99">
        <v>1</v>
      </c>
      <c r="Z89" s="98">
        <v>11</v>
      </c>
      <c r="AA89" s="98">
        <v>4</v>
      </c>
      <c r="AB89" s="98">
        <v>13</v>
      </c>
      <c r="AC89" s="101">
        <v>12</v>
      </c>
      <c r="AD89" s="175">
        <v>8</v>
      </c>
      <c r="AE89" s="1">
        <f>SUM(C89:AD89)</f>
        <v>425</v>
      </c>
    </row>
    <row r="90" spans="1:31" ht="17" customHeight="1" x14ac:dyDescent="0.3">
      <c r="B90" s="193" t="s">
        <v>568</v>
      </c>
      <c r="C90" s="97">
        <v>1</v>
      </c>
      <c r="D90" s="98">
        <v>1</v>
      </c>
      <c r="E90" s="98">
        <v>3</v>
      </c>
      <c r="F90" s="97">
        <v>3</v>
      </c>
      <c r="G90" s="97">
        <v>2</v>
      </c>
      <c r="H90" s="97">
        <v>2</v>
      </c>
      <c r="J90" s="97">
        <v>1</v>
      </c>
      <c r="M90" s="97">
        <v>1</v>
      </c>
      <c r="N90" s="97">
        <v>1</v>
      </c>
      <c r="O90" s="97">
        <v>7</v>
      </c>
      <c r="P90" s="97">
        <v>6</v>
      </c>
      <c r="Q90" s="97">
        <v>4</v>
      </c>
      <c r="R90" s="97">
        <v>2</v>
      </c>
      <c r="T90" s="97">
        <v>3</v>
      </c>
      <c r="W90" s="98">
        <v>3</v>
      </c>
      <c r="AB90" s="98">
        <v>1</v>
      </c>
      <c r="AC90" s="101">
        <v>1</v>
      </c>
      <c r="AE90" s="1">
        <f>SUM(C90:AD90)</f>
        <v>42</v>
      </c>
    </row>
    <row r="91" spans="1:31" x14ac:dyDescent="0.3">
      <c r="B91" s="193" t="s">
        <v>576</v>
      </c>
      <c r="C91" s="97">
        <f>C89-C90</f>
        <v>19</v>
      </c>
      <c r="D91" s="97">
        <f>D89-D90</f>
        <v>12</v>
      </c>
      <c r="E91" s="97">
        <f t="shared" ref="E91:AD91" si="1">E89-E90</f>
        <v>17</v>
      </c>
      <c r="F91" s="97">
        <f t="shared" si="1"/>
        <v>24</v>
      </c>
      <c r="G91" s="97">
        <f t="shared" si="1"/>
        <v>16</v>
      </c>
      <c r="H91" s="97">
        <f t="shared" si="1"/>
        <v>19</v>
      </c>
      <c r="I91" s="97">
        <f>I89-I90</f>
        <v>6</v>
      </c>
      <c r="J91" s="97">
        <f t="shared" si="1"/>
        <v>20</v>
      </c>
      <c r="K91" s="97">
        <f>K89-K90</f>
        <v>9</v>
      </c>
      <c r="L91" s="97">
        <f t="shared" si="1"/>
        <v>7</v>
      </c>
      <c r="M91" s="97">
        <f>M89-M90</f>
        <v>16</v>
      </c>
      <c r="N91" s="97">
        <f t="shared" si="1"/>
        <v>17</v>
      </c>
      <c r="O91" s="97">
        <f t="shared" si="1"/>
        <v>26</v>
      </c>
      <c r="P91" s="97">
        <f t="shared" si="1"/>
        <v>14</v>
      </c>
      <c r="Q91" s="97">
        <f t="shared" si="1"/>
        <v>16</v>
      </c>
      <c r="R91" s="97">
        <f t="shared" si="1"/>
        <v>29</v>
      </c>
      <c r="S91" s="97">
        <f t="shared" si="1"/>
        <v>7</v>
      </c>
      <c r="T91" s="97">
        <f t="shared" si="1"/>
        <v>10</v>
      </c>
      <c r="U91" s="97">
        <f t="shared" si="1"/>
        <v>4</v>
      </c>
      <c r="V91" s="97">
        <f t="shared" si="1"/>
        <v>20</v>
      </c>
      <c r="W91" s="97">
        <f t="shared" si="1"/>
        <v>4</v>
      </c>
      <c r="X91" s="97">
        <f t="shared" si="1"/>
        <v>24</v>
      </c>
      <c r="Y91" s="97">
        <f t="shared" si="1"/>
        <v>1</v>
      </c>
      <c r="Z91" s="97">
        <f t="shared" si="1"/>
        <v>11</v>
      </c>
      <c r="AA91" s="97">
        <f t="shared" si="1"/>
        <v>4</v>
      </c>
      <c r="AB91" s="97">
        <f t="shared" si="1"/>
        <v>12</v>
      </c>
      <c r="AC91" s="97">
        <f t="shared" si="1"/>
        <v>11</v>
      </c>
      <c r="AD91" s="175">
        <f t="shared" si="1"/>
        <v>8</v>
      </c>
    </row>
  </sheetData>
  <phoneticPr fontId="5" type="noConversion"/>
  <conditionalFormatting sqref="A1:AC87 AD1:AD1048576 A79:XFD79">
    <cfRule type="cellIs" dxfId="55" priority="2" operator="equal">
      <formula>1</formula>
    </cfRule>
    <cfRule type="cellIs" dxfId="54" priority="3" operator="equal">
      <formula>2</formula>
    </cfRule>
  </conditionalFormatting>
  <conditionalFormatting sqref="A2:AC2 B1 B3:B88">
    <cfRule type="cellIs" dxfId="53" priority="8" operator="equal">
      <formula>1</formula>
    </cfRule>
  </conditionalFormatting>
  <conditionalFormatting sqref="B1 A2:AC2 B3:B88 A79:XFD79">
    <cfRule type="cellIs" dxfId="52" priority="9" operator="equal">
      <formula>2</formula>
    </cfRule>
  </conditionalFormatting>
  <conditionalFormatting sqref="C4">
    <cfRule type="cellIs" dxfId="51" priority="4" operator="equal">
      <formula>2</formula>
    </cfRule>
  </conditionalFormatting>
  <conditionalFormatting sqref="E2">
    <cfRule type="cellIs" dxfId="50" priority="7" operator="equal">
      <formula>1</formula>
    </cfRule>
  </conditionalFormatting>
  <hyperlinks>
    <hyperlink ref="X30" r:id="rId1" display="https://baike.baidu.com/item/%E6%80%A7%E6%AC%B2%E5%87%8F%E9%80%80/4352905" xr:uid="{E85BF7B3-8FCC-4796-A68A-47037659075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F87A-AEC3-4C17-815D-AD7CFAA24BFC}">
  <dimension ref="A1:DQ93"/>
  <sheetViews>
    <sheetView topLeftCell="B1" zoomScale="70" zoomScaleNormal="70" workbookViewId="0">
      <pane xSplit="1" ySplit="2" topLeftCell="C65" activePane="bottomRight" state="frozen"/>
      <selection activeCell="B1" sqref="B1"/>
      <selection pane="topRight" activeCell="C1" sqref="C1"/>
      <selection pane="bottomLeft" activeCell="B3" sqref="B3"/>
      <selection pane="bottomRight" activeCell="D101" sqref="D101"/>
    </sheetView>
  </sheetViews>
  <sheetFormatPr defaultColWidth="8.9140625" defaultRowHeight="15.5" x14ac:dyDescent="0.3"/>
  <cols>
    <col min="1" max="1" width="0" style="111" hidden="1" customWidth="1"/>
    <col min="2" max="2" width="34" style="277" customWidth="1"/>
    <col min="3" max="3" width="15" style="113" customWidth="1"/>
    <col min="4" max="4" width="10.58203125" style="106" customWidth="1"/>
    <col min="5" max="5" width="9.08203125" style="110" customWidth="1"/>
    <col min="6" max="6" width="11.25" style="110" customWidth="1"/>
    <col min="7" max="7" width="11.58203125" style="106" customWidth="1"/>
    <col min="8" max="8" width="9.9140625" style="106" customWidth="1"/>
    <col min="9" max="9" width="8.75" style="106" customWidth="1"/>
    <col min="10" max="10" width="11" style="110" customWidth="1"/>
    <col min="11" max="11" width="8.9140625" style="106" customWidth="1"/>
    <col min="12" max="12" width="10.08203125" style="106" customWidth="1"/>
    <col min="13" max="13" width="11.58203125" style="106" customWidth="1"/>
    <col min="14" max="14" width="11.4140625" style="106" customWidth="1"/>
    <col min="15" max="15" width="10.58203125" style="106" customWidth="1"/>
    <col min="16" max="16" width="9" style="106" customWidth="1"/>
    <col min="17" max="17" width="9.4140625" style="106" customWidth="1"/>
    <col min="18" max="18" width="11.4140625" style="106" customWidth="1"/>
    <col min="19" max="19" width="8.33203125" style="106" customWidth="1"/>
    <col min="20" max="20" width="11.58203125" style="111" customWidth="1"/>
    <col min="21" max="21" width="15.4140625" style="106" customWidth="1"/>
    <col min="22" max="22" width="8.58203125" style="106" customWidth="1"/>
    <col min="23" max="23" width="10.58203125" style="106" customWidth="1"/>
    <col min="24" max="24" width="9.58203125" style="110" customWidth="1"/>
    <col min="25" max="25" width="10.08203125" style="106" customWidth="1"/>
    <col min="26" max="26" width="10" style="112" customWidth="1"/>
    <col min="27" max="27" width="12.08203125" style="110" customWidth="1"/>
    <col min="28" max="28" width="12.75" style="110" customWidth="1"/>
    <col min="29" max="29" width="10.6640625" style="110" customWidth="1"/>
    <col min="30" max="30" width="7.4140625" style="105" customWidth="1"/>
    <col min="31" max="31" width="12.58203125" style="175" customWidth="1"/>
    <col min="32" max="16384" width="8.9140625" style="195"/>
  </cols>
  <sheetData>
    <row r="1" spans="1:32" ht="28.5" x14ac:dyDescent="0.3">
      <c r="B1" s="276" t="s">
        <v>629</v>
      </c>
      <c r="C1" s="128" t="s">
        <v>577</v>
      </c>
    </row>
    <row r="2" spans="1:32" s="114" customFormat="1" ht="105" x14ac:dyDescent="0.4">
      <c r="A2" s="116" t="s">
        <v>547</v>
      </c>
      <c r="B2" s="276" t="s">
        <v>655</v>
      </c>
      <c r="C2" s="194"/>
      <c r="D2" s="126" t="s">
        <v>220</v>
      </c>
      <c r="E2" s="127" t="s">
        <v>215</v>
      </c>
      <c r="F2" s="127" t="s">
        <v>237</v>
      </c>
      <c r="G2" s="273" t="s">
        <v>221</v>
      </c>
      <c r="H2" s="273" t="s">
        <v>256</v>
      </c>
      <c r="I2" s="126" t="s">
        <v>481</v>
      </c>
      <c r="J2" s="279" t="s">
        <v>482</v>
      </c>
      <c r="K2" s="173" t="s">
        <v>218</v>
      </c>
      <c r="L2" s="173" t="s">
        <v>483</v>
      </c>
      <c r="M2" s="173" t="s">
        <v>556</v>
      </c>
      <c r="N2" s="275" t="s">
        <v>626</v>
      </c>
      <c r="O2" s="275" t="s">
        <v>627</v>
      </c>
      <c r="P2" s="273" t="s">
        <v>222</v>
      </c>
      <c r="Q2" s="280" t="s">
        <v>559</v>
      </c>
      <c r="R2" s="273" t="s">
        <v>484</v>
      </c>
      <c r="S2" s="280" t="s">
        <v>485</v>
      </c>
      <c r="T2" s="116" t="s">
        <v>665</v>
      </c>
      <c r="U2" s="126" t="s">
        <v>551</v>
      </c>
      <c r="V2" s="280" t="s">
        <v>486</v>
      </c>
      <c r="W2" s="173" t="s">
        <v>487</v>
      </c>
      <c r="X2" s="127" t="s">
        <v>488</v>
      </c>
      <c r="Y2" s="126" t="s">
        <v>398</v>
      </c>
      <c r="Z2" s="280" t="s">
        <v>489</v>
      </c>
      <c r="AA2" s="274" t="s">
        <v>554</v>
      </c>
      <c r="AB2" s="127" t="s">
        <v>590</v>
      </c>
      <c r="AC2" s="274" t="s">
        <v>216</v>
      </c>
      <c r="AD2" s="189" t="s">
        <v>424</v>
      </c>
      <c r="AE2" s="281" t="s">
        <v>461</v>
      </c>
    </row>
    <row r="3" spans="1:32" x14ac:dyDescent="0.35">
      <c r="A3" s="130">
        <v>2</v>
      </c>
      <c r="B3" s="277" t="s">
        <v>656</v>
      </c>
      <c r="C3" s="194">
        <f>COUNTIF(D3:AE3,"&gt;0")</f>
        <v>5</v>
      </c>
      <c r="D3" s="112"/>
      <c r="F3" s="169"/>
      <c r="G3" s="112"/>
      <c r="H3" s="112"/>
      <c r="I3" s="112"/>
      <c r="K3" s="112"/>
      <c r="L3" s="112"/>
      <c r="M3" s="112"/>
      <c r="N3" s="169">
        <v>2</v>
      </c>
      <c r="O3" s="169">
        <v>2</v>
      </c>
      <c r="P3" s="112"/>
      <c r="Q3" s="112"/>
      <c r="R3" s="112"/>
      <c r="S3" s="112"/>
      <c r="T3" s="128"/>
      <c r="U3" s="112"/>
      <c r="V3" s="112"/>
      <c r="W3" s="112"/>
      <c r="Y3" s="169">
        <v>2</v>
      </c>
      <c r="AB3" s="110">
        <v>2</v>
      </c>
      <c r="AD3" s="175">
        <v>2</v>
      </c>
    </row>
    <row r="4" spans="1:32" x14ac:dyDescent="0.35">
      <c r="A4" s="130">
        <v>3</v>
      </c>
      <c r="B4" s="277" t="s">
        <v>490</v>
      </c>
      <c r="C4" s="194">
        <f t="shared" ref="C4:C67" si="0">COUNTIF(D4:AE4,"&gt;0")</f>
        <v>10</v>
      </c>
      <c r="D4" s="108">
        <v>2</v>
      </c>
      <c r="G4" s="112"/>
      <c r="H4" s="112"/>
      <c r="I4" s="110"/>
      <c r="K4" s="112">
        <v>2</v>
      </c>
      <c r="L4" s="112"/>
      <c r="M4" s="112">
        <v>2</v>
      </c>
      <c r="N4" s="112">
        <v>1</v>
      </c>
      <c r="O4" s="112">
        <v>1</v>
      </c>
      <c r="P4" s="102"/>
      <c r="Q4" s="112"/>
      <c r="R4" s="112"/>
      <c r="S4" s="112"/>
      <c r="T4" s="132">
        <v>2</v>
      </c>
      <c r="U4" s="175"/>
      <c r="V4" s="112">
        <v>2</v>
      </c>
      <c r="W4" s="112"/>
      <c r="Y4" s="175">
        <v>1</v>
      </c>
      <c r="AB4" s="110">
        <v>1</v>
      </c>
      <c r="AD4" s="105">
        <v>1</v>
      </c>
    </row>
    <row r="5" spans="1:32" x14ac:dyDescent="0.35">
      <c r="A5" s="130">
        <v>4</v>
      </c>
      <c r="B5" s="277" t="s">
        <v>491</v>
      </c>
      <c r="C5" s="194">
        <f t="shared" si="0"/>
        <v>15</v>
      </c>
      <c r="D5" s="112"/>
      <c r="F5" s="164">
        <v>2</v>
      </c>
      <c r="G5" s="112"/>
      <c r="H5" s="107">
        <v>2</v>
      </c>
      <c r="I5" s="107"/>
      <c r="K5" s="112"/>
      <c r="L5" s="169">
        <v>2</v>
      </c>
      <c r="M5" s="112"/>
      <c r="N5" s="112">
        <v>1</v>
      </c>
      <c r="O5" s="112">
        <v>1</v>
      </c>
      <c r="P5" s="112"/>
      <c r="Q5" s="112">
        <v>2</v>
      </c>
      <c r="R5" s="112"/>
      <c r="S5" s="112"/>
      <c r="T5" s="128"/>
      <c r="U5" s="181">
        <v>2</v>
      </c>
      <c r="V5" s="112"/>
      <c r="W5" s="112">
        <v>2</v>
      </c>
      <c r="X5" s="171">
        <v>2</v>
      </c>
      <c r="Y5" s="175">
        <v>1</v>
      </c>
      <c r="AA5" s="110">
        <v>2</v>
      </c>
      <c r="AB5" s="110">
        <v>1</v>
      </c>
      <c r="AC5" s="110">
        <v>2</v>
      </c>
      <c r="AD5" s="105">
        <v>1</v>
      </c>
      <c r="AE5" s="175">
        <v>2</v>
      </c>
    </row>
    <row r="6" spans="1:32" ht="36.9" customHeight="1" x14ac:dyDescent="0.35">
      <c r="A6" s="130">
        <v>7</v>
      </c>
      <c r="B6" s="277" t="s">
        <v>492</v>
      </c>
      <c r="C6" s="194">
        <f t="shared" si="0"/>
        <v>13</v>
      </c>
      <c r="D6" s="112"/>
      <c r="F6" s="169">
        <v>2</v>
      </c>
      <c r="G6" s="112">
        <v>2</v>
      </c>
      <c r="H6" s="107">
        <v>2</v>
      </c>
      <c r="I6" s="107"/>
      <c r="K6" s="112"/>
      <c r="L6" s="112"/>
      <c r="M6" s="112"/>
      <c r="N6" s="112">
        <v>1</v>
      </c>
      <c r="O6" s="112">
        <v>1</v>
      </c>
      <c r="P6" s="112"/>
      <c r="Q6" s="112"/>
      <c r="R6" s="104">
        <v>2</v>
      </c>
      <c r="S6" s="175">
        <v>2</v>
      </c>
      <c r="T6" s="132"/>
      <c r="U6" s="182">
        <v>2</v>
      </c>
      <c r="V6" s="112">
        <v>2</v>
      </c>
      <c r="W6" s="112"/>
      <c r="Y6" s="182">
        <v>1</v>
      </c>
      <c r="Z6" s="188">
        <v>2</v>
      </c>
      <c r="AB6" s="110">
        <v>2</v>
      </c>
      <c r="AD6" s="105">
        <v>1</v>
      </c>
    </row>
    <row r="7" spans="1:32" x14ac:dyDescent="0.35">
      <c r="A7" s="130">
        <v>6</v>
      </c>
      <c r="B7" s="277" t="s">
        <v>493</v>
      </c>
      <c r="C7" s="194">
        <f t="shared" si="0"/>
        <v>16</v>
      </c>
      <c r="D7" s="112"/>
      <c r="F7" s="164">
        <v>2</v>
      </c>
      <c r="G7" s="112">
        <v>2</v>
      </c>
      <c r="H7" s="112"/>
      <c r="I7" s="169">
        <v>2</v>
      </c>
      <c r="K7" s="112">
        <v>2</v>
      </c>
      <c r="L7" s="112"/>
      <c r="M7" s="175">
        <v>2</v>
      </c>
      <c r="N7" s="112">
        <v>1</v>
      </c>
      <c r="O7" s="112">
        <v>1</v>
      </c>
      <c r="P7" s="112">
        <v>2</v>
      </c>
      <c r="Q7" s="112"/>
      <c r="R7" s="176">
        <v>2</v>
      </c>
      <c r="S7" s="175">
        <v>2</v>
      </c>
      <c r="T7" s="132"/>
      <c r="U7" s="181">
        <v>2</v>
      </c>
      <c r="V7" s="112">
        <v>2</v>
      </c>
      <c r="W7" s="112"/>
      <c r="X7" s="110">
        <v>2</v>
      </c>
      <c r="Y7" s="182">
        <v>1</v>
      </c>
      <c r="AB7" s="110">
        <v>1</v>
      </c>
      <c r="AD7" s="105">
        <v>1</v>
      </c>
    </row>
    <row r="8" spans="1:32" x14ac:dyDescent="0.35">
      <c r="A8" s="134">
        <v>8</v>
      </c>
      <c r="B8" s="277" t="s">
        <v>494</v>
      </c>
      <c r="C8" s="194">
        <f t="shared" si="0"/>
        <v>11</v>
      </c>
      <c r="D8" s="108">
        <v>2</v>
      </c>
      <c r="F8" s="169">
        <v>2</v>
      </c>
      <c r="G8" s="112">
        <v>2</v>
      </c>
      <c r="H8" s="169">
        <v>2</v>
      </c>
      <c r="I8" s="169"/>
      <c r="K8" s="112"/>
      <c r="L8" s="112"/>
      <c r="M8" s="112"/>
      <c r="N8" s="112"/>
      <c r="O8" s="112"/>
      <c r="P8" s="176">
        <v>2</v>
      </c>
      <c r="Q8" s="112"/>
      <c r="R8" s="104">
        <v>2</v>
      </c>
      <c r="S8" s="175">
        <v>2</v>
      </c>
      <c r="T8" s="132"/>
      <c r="U8" s="107">
        <v>2</v>
      </c>
      <c r="V8" s="112"/>
      <c r="W8" s="112"/>
      <c r="Y8" s="169">
        <v>2</v>
      </c>
      <c r="AA8" s="110">
        <v>2</v>
      </c>
      <c r="AC8" s="110">
        <v>2</v>
      </c>
    </row>
    <row r="9" spans="1:32" ht="67.25" customHeight="1" x14ac:dyDescent="0.35">
      <c r="A9" s="135">
        <v>11</v>
      </c>
      <c r="B9" s="277" t="s">
        <v>495</v>
      </c>
      <c r="C9" s="194">
        <f t="shared" si="0"/>
        <v>5</v>
      </c>
      <c r="G9" s="112"/>
      <c r="H9" s="112"/>
      <c r="I9" s="112"/>
      <c r="K9" s="112">
        <v>2</v>
      </c>
      <c r="L9" s="174">
        <v>2</v>
      </c>
      <c r="M9" s="112"/>
      <c r="N9" s="112"/>
      <c r="O9" s="112"/>
      <c r="P9" s="112"/>
      <c r="Q9" s="112"/>
      <c r="R9" s="112"/>
      <c r="S9" s="112"/>
      <c r="T9" s="128"/>
      <c r="U9" s="112"/>
      <c r="V9" s="112"/>
      <c r="W9" s="112"/>
      <c r="Y9" s="169">
        <v>2</v>
      </c>
      <c r="AA9" s="110">
        <v>2</v>
      </c>
      <c r="AD9" s="175">
        <v>2</v>
      </c>
    </row>
    <row r="10" spans="1:32" s="197" customFormat="1" x14ac:dyDescent="0.35">
      <c r="A10" s="136">
        <v>9</v>
      </c>
      <c r="B10" s="277" t="s">
        <v>496</v>
      </c>
      <c r="C10" s="194">
        <f t="shared" si="0"/>
        <v>4</v>
      </c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69">
        <v>2</v>
      </c>
      <c r="O10" s="169">
        <v>2</v>
      </c>
      <c r="P10" s="110"/>
      <c r="Q10" s="110"/>
      <c r="R10" s="110"/>
      <c r="S10" s="110"/>
      <c r="T10" s="129"/>
      <c r="U10" s="110"/>
      <c r="V10" s="110"/>
      <c r="W10" s="110">
        <v>2</v>
      </c>
      <c r="X10" s="110"/>
      <c r="Y10" s="169">
        <v>2</v>
      </c>
      <c r="Z10" s="110"/>
      <c r="AA10" s="110"/>
      <c r="AB10" s="110"/>
      <c r="AC10" s="110"/>
      <c r="AD10" s="190"/>
      <c r="AE10" s="175"/>
      <c r="AF10" s="196"/>
    </row>
    <row r="11" spans="1:32" x14ac:dyDescent="0.35">
      <c r="A11" s="137">
        <v>10</v>
      </c>
      <c r="B11" s="277" t="s">
        <v>497</v>
      </c>
      <c r="C11" s="194">
        <f t="shared" si="0"/>
        <v>7</v>
      </c>
      <c r="D11" s="112"/>
      <c r="E11" s="110">
        <v>2</v>
      </c>
      <c r="G11" s="112">
        <v>2</v>
      </c>
      <c r="H11" s="112"/>
      <c r="I11" s="110">
        <v>2</v>
      </c>
      <c r="K11" s="112"/>
      <c r="L11" s="112"/>
      <c r="M11" s="112"/>
      <c r="N11" s="169">
        <v>2</v>
      </c>
      <c r="O11" s="169">
        <v>2</v>
      </c>
      <c r="P11" s="112"/>
      <c r="Q11" s="112">
        <v>2</v>
      </c>
      <c r="R11" s="112"/>
      <c r="S11" s="175">
        <v>2</v>
      </c>
      <c r="T11" s="132"/>
      <c r="U11" s="175"/>
      <c r="V11" s="112"/>
      <c r="W11" s="112"/>
      <c r="Y11" s="175"/>
    </row>
    <row r="12" spans="1:32" x14ac:dyDescent="0.35">
      <c r="A12" s="137">
        <v>56</v>
      </c>
      <c r="B12" s="277" t="s">
        <v>498</v>
      </c>
      <c r="C12" s="194">
        <f t="shared" si="0"/>
        <v>3</v>
      </c>
      <c r="D12" s="112"/>
      <c r="G12" s="112">
        <v>2</v>
      </c>
      <c r="H12" s="112"/>
      <c r="I12" s="169">
        <v>2</v>
      </c>
      <c r="K12" s="112"/>
      <c r="L12" s="112"/>
      <c r="M12" s="112"/>
      <c r="N12" s="112"/>
      <c r="O12" s="112"/>
      <c r="P12" s="102">
        <v>2</v>
      </c>
      <c r="Q12" s="112"/>
      <c r="R12" s="112"/>
      <c r="S12" s="112"/>
      <c r="T12" s="128"/>
      <c r="U12" s="112"/>
      <c r="V12" s="112"/>
      <c r="W12" s="112"/>
      <c r="Y12" s="112"/>
    </row>
    <row r="13" spans="1:32" x14ac:dyDescent="0.35">
      <c r="A13" s="138">
        <v>1</v>
      </c>
      <c r="B13" s="277" t="s">
        <v>499</v>
      </c>
      <c r="C13" s="194">
        <f t="shared" si="0"/>
        <v>3</v>
      </c>
      <c r="D13" s="108">
        <v>2</v>
      </c>
      <c r="G13" s="112"/>
      <c r="H13" s="112"/>
      <c r="I13" s="112"/>
      <c r="K13" s="112"/>
      <c r="L13" s="112"/>
      <c r="M13" s="112"/>
      <c r="N13" s="112"/>
      <c r="O13" s="112"/>
      <c r="P13" s="112"/>
      <c r="Q13" s="112"/>
      <c r="R13" s="112"/>
      <c r="S13" s="112"/>
      <c r="T13" s="128"/>
      <c r="U13" s="112"/>
      <c r="V13" s="112"/>
      <c r="W13" s="112">
        <v>2</v>
      </c>
      <c r="Y13" s="187">
        <v>2</v>
      </c>
    </row>
    <row r="14" spans="1:32" x14ac:dyDescent="0.35">
      <c r="A14" s="138">
        <v>13</v>
      </c>
      <c r="B14" s="277" t="s">
        <v>604</v>
      </c>
      <c r="C14" s="194">
        <f t="shared" si="0"/>
        <v>5</v>
      </c>
      <c r="D14" s="112"/>
      <c r="F14" s="105">
        <v>2</v>
      </c>
      <c r="G14" s="112"/>
      <c r="H14" s="112"/>
      <c r="I14" s="112"/>
      <c r="K14" s="112"/>
      <c r="L14" s="112"/>
      <c r="M14" s="112"/>
      <c r="N14" s="169">
        <v>2</v>
      </c>
      <c r="O14" s="169">
        <v>2</v>
      </c>
      <c r="P14" s="112"/>
      <c r="Q14" s="112"/>
      <c r="R14" s="104">
        <v>2</v>
      </c>
      <c r="S14" s="104"/>
      <c r="T14" s="133"/>
      <c r="U14" s="107">
        <v>2</v>
      </c>
      <c r="V14" s="112"/>
      <c r="W14" s="112"/>
      <c r="Y14" s="107"/>
    </row>
    <row r="15" spans="1:32" x14ac:dyDescent="0.35">
      <c r="A15" s="139" t="s">
        <v>174</v>
      </c>
      <c r="B15" s="277" t="s">
        <v>657</v>
      </c>
      <c r="C15" s="194">
        <f t="shared" si="0"/>
        <v>7</v>
      </c>
      <c r="D15" s="108">
        <v>2</v>
      </c>
      <c r="G15" s="170"/>
      <c r="H15" s="170"/>
      <c r="I15" s="169">
        <v>2</v>
      </c>
      <c r="K15" s="112">
        <v>2</v>
      </c>
      <c r="L15" s="112"/>
      <c r="M15" s="112"/>
      <c r="N15" s="169">
        <v>2</v>
      </c>
      <c r="O15" s="169">
        <v>2</v>
      </c>
      <c r="P15" s="109"/>
      <c r="Q15" s="112"/>
      <c r="R15" s="112"/>
      <c r="S15" s="175">
        <v>2</v>
      </c>
      <c r="T15" s="132"/>
      <c r="U15" s="175"/>
      <c r="V15" s="112"/>
      <c r="W15" s="112">
        <v>2</v>
      </c>
      <c r="Y15" s="175"/>
    </row>
    <row r="16" spans="1:32" x14ac:dyDescent="0.35">
      <c r="A16" s="140">
        <v>89</v>
      </c>
      <c r="B16" s="277" t="s">
        <v>603</v>
      </c>
      <c r="C16" s="194">
        <f t="shared" si="0"/>
        <v>8</v>
      </c>
      <c r="D16" s="112">
        <v>1</v>
      </c>
      <c r="G16" s="112"/>
      <c r="H16" s="112"/>
      <c r="I16" s="112">
        <v>1</v>
      </c>
      <c r="K16" s="112">
        <v>1</v>
      </c>
      <c r="L16" s="112"/>
      <c r="M16" s="112"/>
      <c r="N16" s="112">
        <v>1</v>
      </c>
      <c r="O16" s="112">
        <v>1</v>
      </c>
      <c r="P16" s="102">
        <v>2</v>
      </c>
      <c r="Q16" s="112"/>
      <c r="R16" s="112"/>
      <c r="S16" s="112">
        <v>1</v>
      </c>
      <c r="T16" s="128"/>
      <c r="U16" s="112"/>
      <c r="V16" s="112"/>
      <c r="W16" s="112">
        <v>1</v>
      </c>
      <c r="Y16" s="112"/>
    </row>
    <row r="17" spans="1:31" x14ac:dyDescent="0.35">
      <c r="A17" s="138">
        <v>16</v>
      </c>
      <c r="B17" s="277" t="s">
        <v>605</v>
      </c>
      <c r="C17" s="194">
        <f t="shared" si="0"/>
        <v>14</v>
      </c>
      <c r="D17" s="112"/>
      <c r="E17" s="110">
        <v>2</v>
      </c>
      <c r="F17" s="169">
        <v>2</v>
      </c>
      <c r="G17" s="112">
        <v>2</v>
      </c>
      <c r="H17" s="112">
        <v>2</v>
      </c>
      <c r="I17" s="112"/>
      <c r="J17" s="107"/>
      <c r="K17" s="112"/>
      <c r="L17" s="112"/>
      <c r="M17" s="112"/>
      <c r="N17" s="169">
        <v>2</v>
      </c>
      <c r="O17" s="172">
        <v>2</v>
      </c>
      <c r="P17" s="102">
        <v>2</v>
      </c>
      <c r="Q17" s="110">
        <v>2</v>
      </c>
      <c r="R17" s="104">
        <v>2</v>
      </c>
      <c r="S17" s="175">
        <v>2</v>
      </c>
      <c r="T17" s="132">
        <v>2</v>
      </c>
      <c r="U17" s="107">
        <v>2</v>
      </c>
      <c r="V17" s="112"/>
      <c r="W17" s="112"/>
      <c r="Y17" s="107"/>
      <c r="AB17" s="110">
        <v>2</v>
      </c>
      <c r="AC17" s="110">
        <v>2</v>
      </c>
    </row>
    <row r="18" spans="1:31" x14ac:dyDescent="0.35">
      <c r="A18" s="141" t="s">
        <v>163</v>
      </c>
      <c r="B18" s="277" t="s">
        <v>606</v>
      </c>
      <c r="C18" s="194">
        <f t="shared" si="0"/>
        <v>2</v>
      </c>
      <c r="D18" s="108"/>
      <c r="E18" s="110">
        <v>2</v>
      </c>
      <c r="G18" s="112"/>
      <c r="H18" s="112"/>
      <c r="I18" s="112"/>
      <c r="J18" s="110">
        <v>2</v>
      </c>
      <c r="K18" s="112"/>
      <c r="L18" s="112"/>
      <c r="M18" s="112"/>
      <c r="N18" s="112"/>
      <c r="O18" s="112"/>
      <c r="P18" s="112"/>
      <c r="Q18" s="112"/>
      <c r="R18" s="112"/>
      <c r="S18" s="112"/>
      <c r="T18" s="128"/>
      <c r="U18" s="112"/>
      <c r="V18" s="112"/>
      <c r="W18" s="112"/>
      <c r="Y18" s="112"/>
    </row>
    <row r="19" spans="1:31" ht="84.75" customHeight="1" x14ac:dyDescent="0.35">
      <c r="A19" s="138">
        <v>20</v>
      </c>
      <c r="B19" s="277" t="s">
        <v>607</v>
      </c>
      <c r="C19" s="194">
        <f t="shared" si="0"/>
        <v>5</v>
      </c>
      <c r="D19" s="108"/>
      <c r="F19" s="169">
        <v>2</v>
      </c>
      <c r="G19" s="112"/>
      <c r="H19" s="107">
        <v>2</v>
      </c>
      <c r="I19" s="110"/>
      <c r="K19" s="112">
        <v>2</v>
      </c>
      <c r="L19" s="169">
        <v>2</v>
      </c>
      <c r="M19" s="169"/>
      <c r="N19" s="169"/>
      <c r="O19" s="169"/>
      <c r="P19" s="102"/>
      <c r="Q19" s="112"/>
      <c r="R19" s="112"/>
      <c r="S19" s="104">
        <v>2</v>
      </c>
      <c r="T19" s="133"/>
      <c r="U19" s="104"/>
      <c r="V19" s="112"/>
      <c r="W19" s="112"/>
      <c r="Y19" s="104"/>
    </row>
    <row r="20" spans="1:31" ht="71.400000000000006" customHeight="1" x14ac:dyDescent="0.35">
      <c r="A20" s="138">
        <v>21</v>
      </c>
      <c r="B20" s="277" t="s">
        <v>608</v>
      </c>
      <c r="C20" s="194">
        <f t="shared" si="0"/>
        <v>22</v>
      </c>
      <c r="D20" s="108">
        <v>2</v>
      </c>
      <c r="E20" s="110">
        <v>2</v>
      </c>
      <c r="F20" s="105">
        <v>2</v>
      </c>
      <c r="G20" s="112">
        <v>2</v>
      </c>
      <c r="H20" s="107">
        <v>2</v>
      </c>
      <c r="I20" s="172">
        <v>2</v>
      </c>
      <c r="J20" s="110">
        <v>2</v>
      </c>
      <c r="K20" s="112">
        <v>2</v>
      </c>
      <c r="L20" s="112"/>
      <c r="M20" s="175">
        <v>2</v>
      </c>
      <c r="N20" s="175"/>
      <c r="O20" s="175"/>
      <c r="P20" s="102">
        <v>2</v>
      </c>
      <c r="Q20" s="110">
        <v>2</v>
      </c>
      <c r="R20" s="176">
        <v>2</v>
      </c>
      <c r="S20" s="175">
        <v>2</v>
      </c>
      <c r="T20" s="90">
        <v>2</v>
      </c>
      <c r="U20" s="107">
        <v>2</v>
      </c>
      <c r="V20" s="112"/>
      <c r="W20" s="112">
        <v>2</v>
      </c>
      <c r="X20" s="110">
        <v>2</v>
      </c>
      <c r="Y20" s="187">
        <v>2</v>
      </c>
      <c r="Z20" s="188">
        <v>2</v>
      </c>
      <c r="AC20" s="110">
        <v>2</v>
      </c>
      <c r="AD20" s="110">
        <v>2</v>
      </c>
      <c r="AE20" s="175">
        <v>2</v>
      </c>
    </row>
    <row r="21" spans="1:31" x14ac:dyDescent="0.35">
      <c r="A21" s="138">
        <v>22</v>
      </c>
      <c r="B21" s="282" t="s">
        <v>609</v>
      </c>
      <c r="C21" s="194">
        <f t="shared" si="0"/>
        <v>1</v>
      </c>
      <c r="D21" s="108"/>
      <c r="G21" s="112"/>
      <c r="H21" s="112"/>
      <c r="I21" s="112"/>
      <c r="K21" s="112"/>
      <c r="L21" s="112"/>
      <c r="M21" s="112"/>
      <c r="N21" s="112"/>
      <c r="O21" s="112"/>
      <c r="P21" s="177"/>
      <c r="Q21" s="112"/>
      <c r="R21" s="112"/>
      <c r="S21" s="112"/>
      <c r="T21" s="133"/>
      <c r="U21" s="104"/>
      <c r="V21" s="112"/>
      <c r="W21" s="112"/>
      <c r="Y21" s="104"/>
      <c r="AE21" s="175">
        <v>2</v>
      </c>
    </row>
    <row r="22" spans="1:31" ht="43" customHeight="1" x14ac:dyDescent="0.35">
      <c r="A22" s="142">
        <v>24</v>
      </c>
      <c r="B22" s="277" t="s">
        <v>610</v>
      </c>
      <c r="C22" s="194">
        <f t="shared" si="0"/>
        <v>13</v>
      </c>
      <c r="D22" s="112"/>
      <c r="E22" s="110">
        <v>2</v>
      </c>
      <c r="G22" s="112">
        <v>2</v>
      </c>
      <c r="H22" s="112"/>
      <c r="I22" s="171">
        <v>2</v>
      </c>
      <c r="J22" s="110">
        <v>2</v>
      </c>
      <c r="K22" s="171">
        <v>2</v>
      </c>
      <c r="L22" s="112"/>
      <c r="M22" s="112"/>
      <c r="N22" s="169">
        <v>2</v>
      </c>
      <c r="O22" s="169">
        <v>2</v>
      </c>
      <c r="P22" s="178">
        <v>2</v>
      </c>
      <c r="Q22" s="112"/>
      <c r="R22" s="112"/>
      <c r="S22" s="176">
        <v>2</v>
      </c>
      <c r="T22" s="132">
        <v>2</v>
      </c>
      <c r="U22" s="175"/>
      <c r="V22" s="112"/>
      <c r="W22" s="112"/>
      <c r="Y22" s="169">
        <v>2</v>
      </c>
      <c r="AC22" s="110">
        <v>2</v>
      </c>
      <c r="AD22" s="191">
        <v>2</v>
      </c>
    </row>
    <row r="23" spans="1:31" x14ac:dyDescent="0.35">
      <c r="A23" s="143">
        <v>25</v>
      </c>
      <c r="B23" s="277" t="s">
        <v>660</v>
      </c>
      <c r="C23" s="194">
        <f t="shared" si="0"/>
        <v>9</v>
      </c>
      <c r="D23" s="112"/>
      <c r="F23" s="169">
        <v>2</v>
      </c>
      <c r="G23" s="112"/>
      <c r="H23" s="107">
        <v>2</v>
      </c>
      <c r="I23" s="107"/>
      <c r="K23" s="112"/>
      <c r="L23" s="112"/>
      <c r="M23" s="112"/>
      <c r="N23" s="169">
        <v>2</v>
      </c>
      <c r="O23" s="169">
        <v>2</v>
      </c>
      <c r="P23" s="178">
        <v>2</v>
      </c>
      <c r="Q23" s="110">
        <v>2</v>
      </c>
      <c r="R23" s="110"/>
      <c r="S23" s="175">
        <v>2</v>
      </c>
      <c r="T23" s="132"/>
      <c r="U23" s="175"/>
      <c r="V23" s="112"/>
      <c r="W23" s="112"/>
      <c r="Y23" s="187">
        <v>2</v>
      </c>
      <c r="AC23" s="110">
        <v>2</v>
      </c>
    </row>
    <row r="24" spans="1:31" x14ac:dyDescent="0.35">
      <c r="A24" s="143">
        <v>26</v>
      </c>
      <c r="B24" s="277" t="s">
        <v>537</v>
      </c>
      <c r="C24" s="194">
        <f t="shared" si="0"/>
        <v>14</v>
      </c>
      <c r="D24" s="112"/>
      <c r="F24" s="110">
        <v>1</v>
      </c>
      <c r="G24" s="171">
        <v>2</v>
      </c>
      <c r="H24" s="112">
        <v>1</v>
      </c>
      <c r="I24" s="169">
        <v>2</v>
      </c>
      <c r="K24" s="112">
        <v>2</v>
      </c>
      <c r="L24" s="112"/>
      <c r="M24" s="175">
        <v>2</v>
      </c>
      <c r="N24" s="175">
        <v>1</v>
      </c>
      <c r="O24" s="175">
        <v>1</v>
      </c>
      <c r="P24" s="102">
        <v>2</v>
      </c>
      <c r="Q24" s="112">
        <v>1</v>
      </c>
      <c r="R24" s="104">
        <v>2</v>
      </c>
      <c r="S24" s="104">
        <v>1</v>
      </c>
      <c r="T24" s="133"/>
      <c r="U24" s="104"/>
      <c r="V24" s="112"/>
      <c r="W24" s="112"/>
      <c r="Y24" s="104">
        <v>1</v>
      </c>
      <c r="AC24" s="110">
        <v>2</v>
      </c>
    </row>
    <row r="25" spans="1:31" x14ac:dyDescent="0.35">
      <c r="A25" s="143">
        <v>36</v>
      </c>
      <c r="B25" s="277" t="s">
        <v>560</v>
      </c>
      <c r="C25" s="194">
        <f t="shared" si="0"/>
        <v>11</v>
      </c>
      <c r="D25" s="112"/>
      <c r="F25" s="110">
        <v>1</v>
      </c>
      <c r="G25" s="112">
        <v>2</v>
      </c>
      <c r="H25" s="112">
        <v>1</v>
      </c>
      <c r="I25" s="169">
        <v>2</v>
      </c>
      <c r="K25" s="112"/>
      <c r="L25" s="112"/>
      <c r="M25" s="112"/>
      <c r="N25" s="112">
        <v>1</v>
      </c>
      <c r="O25" s="112">
        <v>1</v>
      </c>
      <c r="P25" s="102">
        <v>2</v>
      </c>
      <c r="Q25" s="112">
        <v>1</v>
      </c>
      <c r="R25" s="112"/>
      <c r="S25" s="112">
        <v>1</v>
      </c>
      <c r="T25" s="128"/>
      <c r="U25" s="112"/>
      <c r="V25" s="112"/>
      <c r="W25" s="112"/>
      <c r="Y25" s="112">
        <v>1</v>
      </c>
      <c r="AC25" s="110">
        <v>1</v>
      </c>
    </row>
    <row r="26" spans="1:31" x14ac:dyDescent="0.35">
      <c r="A26" s="144">
        <v>29</v>
      </c>
      <c r="B26" s="277" t="s">
        <v>501</v>
      </c>
      <c r="C26" s="194">
        <f t="shared" si="0"/>
        <v>8</v>
      </c>
      <c r="D26" s="112"/>
      <c r="F26" s="169">
        <v>2</v>
      </c>
      <c r="G26" s="112">
        <v>2</v>
      </c>
      <c r="H26" s="112"/>
      <c r="I26" s="112"/>
      <c r="K26" s="112"/>
      <c r="L26" s="112"/>
      <c r="M26" s="112"/>
      <c r="N26" s="169">
        <v>2</v>
      </c>
      <c r="O26" s="169">
        <v>2</v>
      </c>
      <c r="P26" s="102">
        <v>2</v>
      </c>
      <c r="Q26" s="112"/>
      <c r="R26" s="104">
        <v>2</v>
      </c>
      <c r="S26" s="104"/>
      <c r="T26" s="133"/>
      <c r="U26" s="104"/>
      <c r="V26" s="112"/>
      <c r="W26" s="112"/>
      <c r="Y26" s="104"/>
      <c r="AC26" s="110">
        <v>2</v>
      </c>
      <c r="AE26" s="175">
        <v>2</v>
      </c>
    </row>
    <row r="27" spans="1:31" x14ac:dyDescent="0.35">
      <c r="A27" s="144">
        <v>33</v>
      </c>
      <c r="B27" s="277" t="s">
        <v>612</v>
      </c>
      <c r="C27" s="194">
        <f t="shared" si="0"/>
        <v>8</v>
      </c>
      <c r="D27" s="164">
        <v>2</v>
      </c>
      <c r="E27" s="110">
        <v>2</v>
      </c>
      <c r="G27" s="112"/>
      <c r="H27" s="112"/>
      <c r="I27" s="112"/>
      <c r="K27" s="112">
        <v>2</v>
      </c>
      <c r="L27" s="112"/>
      <c r="M27" s="175">
        <v>2</v>
      </c>
      <c r="N27" s="175"/>
      <c r="O27" s="175"/>
      <c r="P27" s="112"/>
      <c r="Q27" s="112"/>
      <c r="R27" s="112"/>
      <c r="S27" s="112"/>
      <c r="T27" s="90">
        <v>2</v>
      </c>
      <c r="U27" s="107"/>
      <c r="V27" s="112">
        <v>2</v>
      </c>
      <c r="W27" s="112">
        <v>2</v>
      </c>
      <c r="Y27" s="107"/>
      <c r="AA27" s="110">
        <v>2</v>
      </c>
    </row>
    <row r="28" spans="1:31" ht="22.4" customHeight="1" x14ac:dyDescent="0.35">
      <c r="A28" s="145">
        <v>35</v>
      </c>
      <c r="B28" s="277" t="s">
        <v>613</v>
      </c>
      <c r="C28" s="194">
        <f t="shared" si="0"/>
        <v>3</v>
      </c>
      <c r="D28" s="108">
        <v>2</v>
      </c>
      <c r="G28" s="112"/>
      <c r="H28" s="112"/>
      <c r="I28" s="112"/>
      <c r="K28" s="112"/>
      <c r="L28" s="112"/>
      <c r="M28" s="112"/>
      <c r="N28" s="112"/>
      <c r="O28" s="112"/>
      <c r="P28" s="112"/>
      <c r="Q28" s="112"/>
      <c r="R28" s="112"/>
      <c r="S28" s="112"/>
      <c r="T28" s="128"/>
      <c r="U28" s="112"/>
      <c r="V28" s="112"/>
      <c r="W28" s="112"/>
      <c r="Y28" s="187">
        <v>2</v>
      </c>
      <c r="AE28" s="175">
        <v>2</v>
      </c>
    </row>
    <row r="29" spans="1:31" ht="86" customHeight="1" x14ac:dyDescent="0.35">
      <c r="A29" s="146" t="s">
        <v>467</v>
      </c>
      <c r="B29" s="277" t="s">
        <v>615</v>
      </c>
      <c r="C29" s="194">
        <f t="shared" si="0"/>
        <v>11</v>
      </c>
      <c r="D29" s="112"/>
      <c r="E29" s="164">
        <v>2</v>
      </c>
      <c r="F29" s="164">
        <v>2</v>
      </c>
      <c r="G29" s="112"/>
      <c r="H29" s="107">
        <v>2</v>
      </c>
      <c r="I29" s="169">
        <v>2</v>
      </c>
      <c r="J29" s="110">
        <v>2</v>
      </c>
      <c r="K29" s="112">
        <v>2</v>
      </c>
      <c r="L29" s="112"/>
      <c r="M29" s="175">
        <v>2</v>
      </c>
      <c r="N29" s="175"/>
      <c r="O29" s="175"/>
      <c r="P29" s="112"/>
      <c r="Q29" s="110">
        <v>2</v>
      </c>
      <c r="R29" s="104">
        <v>2</v>
      </c>
      <c r="S29" s="175">
        <v>2</v>
      </c>
      <c r="T29" s="132"/>
      <c r="U29" s="183">
        <v>2</v>
      </c>
      <c r="V29" s="112"/>
      <c r="W29" s="112"/>
      <c r="Y29" s="112"/>
    </row>
    <row r="30" spans="1:31" ht="80.5" customHeight="1" x14ac:dyDescent="0.35">
      <c r="A30" s="145">
        <v>54</v>
      </c>
      <c r="B30" s="277" t="s">
        <v>502</v>
      </c>
      <c r="C30" s="194">
        <f t="shared" si="0"/>
        <v>6</v>
      </c>
      <c r="D30" s="108">
        <v>2</v>
      </c>
      <c r="E30" s="110">
        <v>2</v>
      </c>
      <c r="G30" s="112"/>
      <c r="H30" s="112"/>
      <c r="I30" s="169">
        <v>2</v>
      </c>
      <c r="K30" s="112">
        <v>2</v>
      </c>
      <c r="L30" s="112"/>
      <c r="M30" s="112"/>
      <c r="N30" s="112"/>
      <c r="O30" s="112"/>
      <c r="P30" s="112"/>
      <c r="Q30" s="112"/>
      <c r="R30" s="112"/>
      <c r="S30" s="112"/>
      <c r="T30" s="128"/>
      <c r="U30" s="112"/>
      <c r="V30" s="112"/>
      <c r="W30" s="112">
        <v>2</v>
      </c>
      <c r="Y30" s="169">
        <v>2</v>
      </c>
    </row>
    <row r="31" spans="1:31" x14ac:dyDescent="0.35">
      <c r="A31" s="145"/>
      <c r="B31" s="277" t="s">
        <v>661</v>
      </c>
      <c r="C31" s="194">
        <f t="shared" si="0"/>
        <v>8</v>
      </c>
      <c r="D31" s="108">
        <v>2</v>
      </c>
      <c r="G31" s="112"/>
      <c r="H31" s="107">
        <v>2</v>
      </c>
      <c r="I31" s="107"/>
      <c r="K31" s="112"/>
      <c r="L31" s="169">
        <v>2</v>
      </c>
      <c r="M31" s="169"/>
      <c r="N31" s="169"/>
      <c r="O31" s="169"/>
      <c r="P31" s="112"/>
      <c r="Q31" s="110">
        <v>2</v>
      </c>
      <c r="R31" s="110"/>
      <c r="S31" s="175">
        <v>2</v>
      </c>
      <c r="T31" s="132"/>
      <c r="U31" s="175"/>
      <c r="V31" s="112"/>
      <c r="W31" s="112">
        <v>2</v>
      </c>
      <c r="Y31" s="175"/>
      <c r="AA31" s="110">
        <v>2</v>
      </c>
      <c r="AE31" s="175">
        <v>2</v>
      </c>
    </row>
    <row r="32" spans="1:31" ht="83" customHeight="1" x14ac:dyDescent="0.35">
      <c r="A32" s="145">
        <v>41</v>
      </c>
      <c r="B32" s="277" t="s">
        <v>503</v>
      </c>
      <c r="C32" s="194">
        <f t="shared" si="0"/>
        <v>18</v>
      </c>
      <c r="D32" s="108">
        <v>2</v>
      </c>
      <c r="E32" s="110">
        <v>2</v>
      </c>
      <c r="G32" s="112"/>
      <c r="H32" s="112">
        <v>1</v>
      </c>
      <c r="I32" s="169">
        <v>2</v>
      </c>
      <c r="K32" s="112">
        <v>2</v>
      </c>
      <c r="L32" s="112">
        <v>1</v>
      </c>
      <c r="M32" s="175">
        <v>2</v>
      </c>
      <c r="N32" s="175"/>
      <c r="O32" s="175"/>
      <c r="P32" s="112">
        <v>2</v>
      </c>
      <c r="Q32" s="112">
        <v>1</v>
      </c>
      <c r="R32" s="112"/>
      <c r="S32" s="175">
        <v>2</v>
      </c>
      <c r="T32" s="90">
        <v>2</v>
      </c>
      <c r="U32" s="107"/>
      <c r="V32" s="112"/>
      <c r="W32" s="112">
        <v>2</v>
      </c>
      <c r="X32" s="171">
        <v>2</v>
      </c>
      <c r="Y32" s="169">
        <v>2</v>
      </c>
      <c r="AA32" s="180">
        <v>2</v>
      </c>
      <c r="AC32" s="110">
        <v>2</v>
      </c>
      <c r="AD32" s="175">
        <v>2</v>
      </c>
      <c r="AE32" s="175">
        <v>1</v>
      </c>
    </row>
    <row r="33" spans="1:31" x14ac:dyDescent="0.35">
      <c r="A33" s="145">
        <v>42</v>
      </c>
      <c r="B33" s="277" t="s">
        <v>504</v>
      </c>
      <c r="C33" s="194">
        <f t="shared" si="0"/>
        <v>9</v>
      </c>
      <c r="D33" s="108">
        <v>1</v>
      </c>
      <c r="G33" s="112"/>
      <c r="H33" s="112">
        <v>1</v>
      </c>
      <c r="I33" s="112"/>
      <c r="K33" s="112"/>
      <c r="L33" s="112">
        <v>1</v>
      </c>
      <c r="M33" s="112"/>
      <c r="N33" s="112"/>
      <c r="O33" s="112"/>
      <c r="P33" s="102">
        <v>2</v>
      </c>
      <c r="Q33" s="112">
        <v>1</v>
      </c>
      <c r="R33" s="112"/>
      <c r="S33" s="175">
        <v>2</v>
      </c>
      <c r="T33" s="132"/>
      <c r="U33" s="175"/>
      <c r="V33" s="112"/>
      <c r="W33" s="112">
        <v>1</v>
      </c>
      <c r="Y33" s="175"/>
      <c r="AA33" s="110">
        <v>1</v>
      </c>
      <c r="AE33" s="175">
        <v>1</v>
      </c>
    </row>
    <row r="34" spans="1:31" x14ac:dyDescent="0.35">
      <c r="A34" s="145">
        <v>59</v>
      </c>
      <c r="B34" s="277" t="s">
        <v>614</v>
      </c>
      <c r="C34" s="194">
        <f t="shared" si="0"/>
        <v>2</v>
      </c>
      <c r="D34" s="108">
        <v>2</v>
      </c>
      <c r="G34" s="112"/>
      <c r="H34" s="112"/>
      <c r="I34" s="112"/>
      <c r="K34" s="112"/>
      <c r="L34" s="112"/>
      <c r="M34" s="112"/>
      <c r="N34" s="112"/>
      <c r="O34" s="112"/>
      <c r="P34" s="112"/>
      <c r="Q34" s="112"/>
      <c r="R34" s="112"/>
      <c r="S34" s="112"/>
      <c r="T34" s="128"/>
      <c r="U34" s="112"/>
      <c r="V34" s="112"/>
      <c r="W34" s="112">
        <v>2</v>
      </c>
      <c r="Y34" s="112"/>
    </row>
    <row r="35" spans="1:31" x14ac:dyDescent="0.35">
      <c r="A35" s="147">
        <v>62</v>
      </c>
      <c r="B35" s="277" t="s">
        <v>505</v>
      </c>
      <c r="C35" s="194">
        <f t="shared" si="0"/>
        <v>4</v>
      </c>
      <c r="D35" s="112"/>
      <c r="F35" s="169">
        <v>2</v>
      </c>
      <c r="G35" s="112"/>
      <c r="H35" s="112"/>
      <c r="I35" s="112"/>
      <c r="K35" s="112"/>
      <c r="L35" s="112"/>
      <c r="M35" s="112"/>
      <c r="N35" s="112"/>
      <c r="O35" s="112"/>
      <c r="P35" s="102">
        <v>2</v>
      </c>
      <c r="Q35" s="110">
        <v>2</v>
      </c>
      <c r="R35" s="104">
        <v>2</v>
      </c>
      <c r="S35" s="104"/>
      <c r="T35" s="133"/>
      <c r="U35" s="104"/>
      <c r="V35" s="112"/>
      <c r="W35" s="112"/>
      <c r="Y35" s="104"/>
    </row>
    <row r="36" spans="1:31" ht="61.25" customHeight="1" x14ac:dyDescent="0.35">
      <c r="A36" s="147">
        <v>63</v>
      </c>
      <c r="B36" s="277" t="s">
        <v>506</v>
      </c>
      <c r="C36" s="194">
        <f t="shared" si="0"/>
        <v>5</v>
      </c>
      <c r="D36" s="112"/>
      <c r="G36" s="112"/>
      <c r="H36" s="112"/>
      <c r="I36" s="112"/>
      <c r="K36" s="112"/>
      <c r="L36" s="174">
        <v>2</v>
      </c>
      <c r="M36" s="112"/>
      <c r="N36" s="112"/>
      <c r="O36" s="112"/>
      <c r="P36" s="179">
        <v>2</v>
      </c>
      <c r="Q36" s="112"/>
      <c r="R36" s="112"/>
      <c r="S36" s="175">
        <v>2</v>
      </c>
      <c r="T36" s="132"/>
      <c r="U36" s="175"/>
      <c r="V36" s="112"/>
      <c r="W36" s="112">
        <v>2</v>
      </c>
      <c r="Y36" s="112">
        <v>2</v>
      </c>
    </row>
    <row r="37" spans="1:31" x14ac:dyDescent="0.35">
      <c r="A37" s="148">
        <v>69</v>
      </c>
      <c r="B37" s="277" t="s">
        <v>662</v>
      </c>
      <c r="C37" s="194">
        <f>COUNTIF(D37:AE37,"&gt;0")</f>
        <v>3</v>
      </c>
      <c r="D37" s="108"/>
      <c r="G37" s="112"/>
      <c r="H37" s="112"/>
      <c r="I37" s="112"/>
      <c r="K37" s="112"/>
      <c r="L37" s="112"/>
      <c r="M37" s="112"/>
      <c r="N37" s="112"/>
      <c r="O37" s="112"/>
      <c r="P37" s="112"/>
      <c r="Q37" s="112"/>
      <c r="R37" s="112"/>
      <c r="S37" s="175">
        <v>2</v>
      </c>
      <c r="T37" s="132"/>
      <c r="U37" s="175"/>
      <c r="V37" s="112"/>
      <c r="W37" s="112"/>
      <c r="Y37" s="169">
        <v>2</v>
      </c>
      <c r="AA37" s="110">
        <v>2</v>
      </c>
    </row>
    <row r="38" spans="1:31" x14ac:dyDescent="0.35">
      <c r="A38" s="148">
        <v>70</v>
      </c>
      <c r="B38" s="277" t="s">
        <v>507</v>
      </c>
      <c r="C38" s="194">
        <f t="shared" si="0"/>
        <v>6</v>
      </c>
      <c r="D38" s="108">
        <v>2</v>
      </c>
      <c r="G38" s="112"/>
      <c r="H38" s="107">
        <v>2</v>
      </c>
      <c r="I38" s="107"/>
      <c r="K38" s="112"/>
      <c r="L38" s="112"/>
      <c r="M38" s="112"/>
      <c r="N38" s="112"/>
      <c r="O38" s="112"/>
      <c r="P38" s="112"/>
      <c r="Q38" s="112"/>
      <c r="R38" s="112"/>
      <c r="S38" s="112">
        <v>1</v>
      </c>
      <c r="T38" s="128"/>
      <c r="U38" s="112"/>
      <c r="V38" s="112"/>
      <c r="W38" s="112">
        <v>2</v>
      </c>
      <c r="Y38" s="169">
        <v>2</v>
      </c>
      <c r="AA38" s="110">
        <v>1</v>
      </c>
    </row>
    <row r="39" spans="1:31" x14ac:dyDescent="0.35">
      <c r="A39" s="148"/>
      <c r="B39" s="277" t="s">
        <v>508</v>
      </c>
      <c r="C39" s="194">
        <f t="shared" si="0"/>
        <v>5</v>
      </c>
      <c r="D39" s="108">
        <v>2</v>
      </c>
      <c r="G39" s="112"/>
      <c r="H39" s="112"/>
      <c r="I39" s="112"/>
      <c r="K39" s="112"/>
      <c r="L39" s="112"/>
      <c r="M39" s="112"/>
      <c r="N39" s="112"/>
      <c r="O39" s="112"/>
      <c r="P39" s="112"/>
      <c r="Q39" s="112"/>
      <c r="R39" s="112"/>
      <c r="S39" s="112">
        <v>1</v>
      </c>
      <c r="T39" s="128"/>
      <c r="U39" s="112"/>
      <c r="V39" s="112"/>
      <c r="W39" s="184">
        <v>2</v>
      </c>
      <c r="Y39" s="112">
        <v>1</v>
      </c>
      <c r="AA39" s="110">
        <v>1</v>
      </c>
    </row>
    <row r="40" spans="1:31" x14ac:dyDescent="0.35">
      <c r="A40" s="148"/>
      <c r="B40" s="277" t="s">
        <v>509</v>
      </c>
      <c r="C40" s="194">
        <f t="shared" si="0"/>
        <v>4</v>
      </c>
      <c r="D40" s="108"/>
      <c r="G40" s="112"/>
      <c r="H40" s="112"/>
      <c r="I40" s="112"/>
      <c r="K40" s="112"/>
      <c r="L40" s="112"/>
      <c r="M40" s="112"/>
      <c r="N40" s="112"/>
      <c r="O40" s="112"/>
      <c r="P40" s="112"/>
      <c r="Q40" s="110">
        <v>2</v>
      </c>
      <c r="R40" s="110"/>
      <c r="S40" s="110">
        <v>1</v>
      </c>
      <c r="T40" s="129"/>
      <c r="U40" s="110"/>
      <c r="V40" s="112"/>
      <c r="W40" s="112"/>
      <c r="Y40" s="110">
        <v>1</v>
      </c>
      <c r="AA40" s="110">
        <v>1</v>
      </c>
    </row>
    <row r="41" spans="1:31" x14ac:dyDescent="0.35">
      <c r="A41" s="149">
        <v>19</v>
      </c>
      <c r="B41" s="277" t="s">
        <v>510</v>
      </c>
      <c r="C41" s="194">
        <f t="shared" si="0"/>
        <v>12</v>
      </c>
      <c r="D41" s="108">
        <v>2</v>
      </c>
      <c r="F41" s="103"/>
      <c r="G41" s="102">
        <v>2</v>
      </c>
      <c r="H41" s="102"/>
      <c r="I41" s="104">
        <v>2</v>
      </c>
      <c r="K41" s="112">
        <v>2</v>
      </c>
      <c r="L41" s="169">
        <v>2</v>
      </c>
      <c r="M41" s="169"/>
      <c r="N41" s="169"/>
      <c r="O41" s="169"/>
      <c r="P41" s="102">
        <v>2</v>
      </c>
      <c r="Q41" s="110">
        <v>2</v>
      </c>
      <c r="R41" s="104">
        <v>2</v>
      </c>
      <c r="S41" s="104"/>
      <c r="T41" s="133"/>
      <c r="U41" s="104"/>
      <c r="V41" s="112"/>
      <c r="W41" s="112">
        <v>2</v>
      </c>
      <c r="Y41" s="104"/>
      <c r="AA41" s="110">
        <v>2</v>
      </c>
      <c r="AC41" s="110">
        <v>2</v>
      </c>
      <c r="AD41" s="175">
        <v>2</v>
      </c>
    </row>
    <row r="42" spans="1:31" x14ac:dyDescent="0.35">
      <c r="A42" s="150">
        <v>43</v>
      </c>
      <c r="B42" s="277" t="s">
        <v>658</v>
      </c>
      <c r="C42" s="194">
        <f t="shared" si="0"/>
        <v>4</v>
      </c>
      <c r="D42" s="112"/>
      <c r="F42" s="103"/>
      <c r="G42" s="102">
        <v>2</v>
      </c>
      <c r="H42" s="102"/>
      <c r="I42" s="102"/>
      <c r="K42" s="112">
        <v>2</v>
      </c>
      <c r="L42" s="169">
        <v>2</v>
      </c>
      <c r="M42" s="169"/>
      <c r="N42" s="169"/>
      <c r="O42" s="169"/>
      <c r="P42" s="169"/>
      <c r="Q42" s="112"/>
      <c r="R42" s="112"/>
      <c r="S42" s="112"/>
      <c r="T42" s="128"/>
      <c r="U42" s="112"/>
      <c r="V42" s="112"/>
      <c r="W42" s="112">
        <v>2</v>
      </c>
      <c r="Y42" s="112"/>
    </row>
    <row r="43" spans="1:31" x14ac:dyDescent="0.35">
      <c r="A43" s="151">
        <v>44</v>
      </c>
      <c r="B43" s="277" t="s">
        <v>511</v>
      </c>
      <c r="C43" s="194">
        <f t="shared" si="0"/>
        <v>6</v>
      </c>
      <c r="D43" s="112"/>
      <c r="F43" s="103"/>
      <c r="G43" s="102">
        <v>1</v>
      </c>
      <c r="H43" s="107">
        <v>2</v>
      </c>
      <c r="I43" s="107"/>
      <c r="K43" s="112">
        <v>1</v>
      </c>
      <c r="L43" s="112">
        <v>1</v>
      </c>
      <c r="M43" s="112"/>
      <c r="N43" s="112"/>
      <c r="O43" s="112"/>
      <c r="P43" s="102">
        <v>2</v>
      </c>
      <c r="Q43" s="112"/>
      <c r="R43" s="112"/>
      <c r="S43" s="112"/>
      <c r="T43" s="128"/>
      <c r="U43" s="112"/>
      <c r="V43" s="112"/>
      <c r="W43" s="112">
        <v>1</v>
      </c>
      <c r="Y43" s="112"/>
    </row>
    <row r="44" spans="1:31" x14ac:dyDescent="0.35">
      <c r="A44" s="152">
        <v>45</v>
      </c>
      <c r="B44" s="277" t="s">
        <v>512</v>
      </c>
      <c r="C44" s="194">
        <f t="shared" si="0"/>
        <v>11</v>
      </c>
      <c r="D44" s="108">
        <v>2</v>
      </c>
      <c r="F44" s="104">
        <v>2</v>
      </c>
      <c r="G44" s="102">
        <v>1</v>
      </c>
      <c r="H44" s="102"/>
      <c r="I44" s="104">
        <v>2</v>
      </c>
      <c r="K44" s="112">
        <v>1</v>
      </c>
      <c r="L44" s="112">
        <v>1</v>
      </c>
      <c r="M44" s="112"/>
      <c r="N44" s="112"/>
      <c r="O44" s="112"/>
      <c r="P44" s="102">
        <v>2</v>
      </c>
      <c r="Q44" s="112"/>
      <c r="R44" s="104">
        <v>2</v>
      </c>
      <c r="S44" s="175">
        <v>2</v>
      </c>
      <c r="T44" s="132"/>
      <c r="U44" s="175"/>
      <c r="V44" s="112"/>
      <c r="W44" s="112">
        <v>1</v>
      </c>
      <c r="Y44" s="175"/>
      <c r="AD44" s="175">
        <v>2</v>
      </c>
    </row>
    <row r="45" spans="1:31" x14ac:dyDescent="0.35">
      <c r="A45" s="153">
        <v>46</v>
      </c>
      <c r="B45" s="277" t="s">
        <v>663</v>
      </c>
      <c r="C45" s="194">
        <f t="shared" si="0"/>
        <v>5</v>
      </c>
      <c r="D45" s="108">
        <v>2</v>
      </c>
      <c r="F45" s="103"/>
      <c r="G45" s="102">
        <v>2</v>
      </c>
      <c r="H45" s="102"/>
      <c r="I45" s="102"/>
      <c r="K45" s="112"/>
      <c r="L45" s="169">
        <v>2</v>
      </c>
      <c r="M45" s="169"/>
      <c r="N45" s="169"/>
      <c r="O45" s="169"/>
      <c r="P45" s="102"/>
      <c r="Q45" s="112"/>
      <c r="R45" s="112"/>
      <c r="S45" s="112"/>
      <c r="T45" s="128"/>
      <c r="U45" s="112"/>
      <c r="V45" s="112"/>
      <c r="W45" s="112">
        <v>2</v>
      </c>
      <c r="Y45" s="112"/>
      <c r="AA45" s="110">
        <v>2</v>
      </c>
    </row>
    <row r="46" spans="1:31" x14ac:dyDescent="0.35">
      <c r="A46" s="149">
        <v>47</v>
      </c>
      <c r="B46" s="277" t="s">
        <v>513</v>
      </c>
      <c r="C46" s="194">
        <f t="shared" si="0"/>
        <v>12</v>
      </c>
      <c r="D46" s="112">
        <v>1</v>
      </c>
      <c r="F46" s="105">
        <v>2</v>
      </c>
      <c r="G46" s="102">
        <v>1</v>
      </c>
      <c r="H46" s="192">
        <v>2</v>
      </c>
      <c r="I46" s="103">
        <v>2</v>
      </c>
      <c r="K46" s="112">
        <v>2</v>
      </c>
      <c r="L46" s="112">
        <v>1</v>
      </c>
      <c r="M46" s="112"/>
      <c r="N46" s="112"/>
      <c r="O46" s="112"/>
      <c r="P46" s="102">
        <v>2</v>
      </c>
      <c r="Q46" s="112"/>
      <c r="R46" s="104">
        <v>2</v>
      </c>
      <c r="S46" s="104"/>
      <c r="T46" s="133"/>
      <c r="U46" s="107">
        <v>2</v>
      </c>
      <c r="V46" s="112"/>
      <c r="W46" s="112">
        <v>1</v>
      </c>
      <c r="Y46" s="107"/>
      <c r="AA46" s="110">
        <v>1</v>
      </c>
    </row>
    <row r="47" spans="1:31" x14ac:dyDescent="0.35">
      <c r="A47" s="154">
        <v>48</v>
      </c>
      <c r="B47" s="277" t="s">
        <v>514</v>
      </c>
      <c r="C47" s="194">
        <f t="shared" si="0"/>
        <v>6</v>
      </c>
      <c r="D47" s="112">
        <v>1</v>
      </c>
      <c r="F47" s="103"/>
      <c r="G47" s="102">
        <v>1</v>
      </c>
      <c r="H47" s="102"/>
      <c r="I47" s="102"/>
      <c r="K47" s="112"/>
      <c r="L47" s="112">
        <v>1</v>
      </c>
      <c r="M47" s="112"/>
      <c r="N47" s="112"/>
      <c r="O47" s="112"/>
      <c r="P47" s="102">
        <v>2</v>
      </c>
      <c r="Q47" s="112"/>
      <c r="R47" s="112"/>
      <c r="S47" s="112"/>
      <c r="T47" s="128"/>
      <c r="U47" s="112"/>
      <c r="V47" s="112"/>
      <c r="W47" s="112">
        <v>1</v>
      </c>
      <c r="Y47" s="112"/>
      <c r="AA47" s="110">
        <v>1</v>
      </c>
    </row>
    <row r="48" spans="1:31" x14ac:dyDescent="0.35">
      <c r="A48" s="155">
        <v>49</v>
      </c>
      <c r="B48" s="277" t="s">
        <v>515</v>
      </c>
      <c r="C48" s="194">
        <f t="shared" si="0"/>
        <v>6</v>
      </c>
      <c r="D48" s="112">
        <v>1</v>
      </c>
      <c r="F48" s="103"/>
      <c r="G48" s="102">
        <v>1</v>
      </c>
      <c r="H48" s="102"/>
      <c r="I48" s="102"/>
      <c r="K48" s="112"/>
      <c r="L48" s="112">
        <v>1</v>
      </c>
      <c r="M48" s="112"/>
      <c r="N48" s="112"/>
      <c r="O48" s="112"/>
      <c r="P48" s="112"/>
      <c r="Q48" s="112"/>
      <c r="R48" s="112"/>
      <c r="S48" s="112"/>
      <c r="T48" s="128"/>
      <c r="U48" s="112"/>
      <c r="V48" s="112"/>
      <c r="W48" s="112">
        <v>1</v>
      </c>
      <c r="Y48" s="169">
        <v>2</v>
      </c>
      <c r="AA48" s="110">
        <v>1</v>
      </c>
    </row>
    <row r="49" spans="1:121" x14ac:dyDescent="0.35">
      <c r="A49" s="156">
        <v>50</v>
      </c>
      <c r="B49" s="277" t="s">
        <v>516</v>
      </c>
      <c r="C49" s="194">
        <f t="shared" si="0"/>
        <v>6</v>
      </c>
      <c r="D49" s="112">
        <v>1</v>
      </c>
      <c r="F49" s="103"/>
      <c r="G49" s="102">
        <v>1</v>
      </c>
      <c r="H49" s="102"/>
      <c r="I49" s="102"/>
      <c r="K49" s="112"/>
      <c r="L49" s="112">
        <v>1</v>
      </c>
      <c r="M49" s="112"/>
      <c r="N49" s="112"/>
      <c r="O49" s="112"/>
      <c r="P49" s="112"/>
      <c r="Q49" s="112"/>
      <c r="R49" s="112"/>
      <c r="S49" s="112"/>
      <c r="T49" s="128"/>
      <c r="U49" s="112"/>
      <c r="V49" s="112"/>
      <c r="W49" s="112">
        <v>1</v>
      </c>
      <c r="Y49" s="169">
        <v>2</v>
      </c>
      <c r="AA49" s="110">
        <v>1</v>
      </c>
    </row>
    <row r="50" spans="1:121" x14ac:dyDescent="0.35">
      <c r="A50" s="157">
        <v>51</v>
      </c>
      <c r="B50" s="277" t="s">
        <v>517</v>
      </c>
      <c r="C50" s="194">
        <f t="shared" si="0"/>
        <v>6</v>
      </c>
      <c r="D50" s="112">
        <v>1</v>
      </c>
      <c r="F50" s="103"/>
      <c r="G50" s="102">
        <v>1</v>
      </c>
      <c r="H50" s="102"/>
      <c r="I50" s="103"/>
      <c r="K50" s="112"/>
      <c r="L50" s="112">
        <v>1</v>
      </c>
      <c r="M50" s="112"/>
      <c r="N50" s="112"/>
      <c r="O50" s="112"/>
      <c r="P50" s="112"/>
      <c r="Q50" s="112"/>
      <c r="R50" s="112"/>
      <c r="S50" s="112"/>
      <c r="T50" s="128"/>
      <c r="U50" s="112"/>
      <c r="V50" s="112"/>
      <c r="W50" s="110">
        <v>1</v>
      </c>
      <c r="Y50" s="169">
        <v>2</v>
      </c>
      <c r="AA50" s="110">
        <v>1</v>
      </c>
    </row>
    <row r="51" spans="1:121" x14ac:dyDescent="0.35">
      <c r="A51" s="149">
        <v>53</v>
      </c>
      <c r="B51" s="277" t="s">
        <v>518</v>
      </c>
      <c r="C51" s="194">
        <f t="shared" si="0"/>
        <v>4</v>
      </c>
      <c r="D51" s="108">
        <v>2</v>
      </c>
      <c r="F51" s="103"/>
      <c r="G51" s="102"/>
      <c r="H51" s="102"/>
      <c r="I51" s="104">
        <v>2</v>
      </c>
      <c r="K51" s="112"/>
      <c r="L51" s="112"/>
      <c r="M51" s="112"/>
      <c r="N51" s="112"/>
      <c r="O51" s="112"/>
      <c r="P51" s="112"/>
      <c r="Q51" s="112"/>
      <c r="R51" s="112"/>
      <c r="S51" s="112"/>
      <c r="T51" s="128"/>
      <c r="U51" s="112"/>
      <c r="V51" s="112"/>
      <c r="W51" s="112">
        <v>2</v>
      </c>
      <c r="Y51" s="187">
        <v>2</v>
      </c>
    </row>
    <row r="52" spans="1:121" s="197" customFormat="1" x14ac:dyDescent="0.35">
      <c r="A52" s="158">
        <v>68</v>
      </c>
      <c r="B52" s="278" t="s">
        <v>659</v>
      </c>
      <c r="C52" s="194">
        <f t="shared" si="0"/>
        <v>2</v>
      </c>
      <c r="D52" s="112"/>
      <c r="E52" s="112"/>
      <c r="F52" s="102"/>
      <c r="G52" s="102">
        <v>2</v>
      </c>
      <c r="H52" s="107">
        <v>2</v>
      </c>
      <c r="I52" s="107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28"/>
      <c r="U52" s="112"/>
      <c r="V52" s="112"/>
      <c r="W52" s="112"/>
      <c r="X52" s="112"/>
      <c r="Y52" s="112"/>
      <c r="Z52" s="112"/>
      <c r="AA52" s="112"/>
      <c r="AB52" s="112"/>
      <c r="AC52" s="112"/>
      <c r="AD52" s="106"/>
      <c r="AE52" s="175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  <c r="DB52" s="111"/>
      <c r="DC52" s="111"/>
      <c r="DD52" s="111"/>
      <c r="DE52" s="111"/>
      <c r="DF52" s="111"/>
      <c r="DG52" s="111"/>
      <c r="DH52" s="111"/>
      <c r="DI52" s="111"/>
      <c r="DJ52" s="111"/>
      <c r="DK52" s="111"/>
      <c r="DL52" s="111"/>
      <c r="DM52" s="111"/>
      <c r="DN52" s="111"/>
      <c r="DO52" s="111"/>
      <c r="DP52" s="111"/>
      <c r="DQ52" s="111"/>
    </row>
    <row r="53" spans="1:121" s="197" customFormat="1" x14ac:dyDescent="0.35">
      <c r="A53" s="158">
        <v>65</v>
      </c>
      <c r="B53" s="278" t="s">
        <v>583</v>
      </c>
      <c r="C53" s="194">
        <f t="shared" si="0"/>
        <v>4</v>
      </c>
      <c r="D53" s="112"/>
      <c r="E53" s="112"/>
      <c r="F53" s="102"/>
      <c r="G53" s="102">
        <v>1</v>
      </c>
      <c r="H53" s="102">
        <v>1</v>
      </c>
      <c r="I53" s="102"/>
      <c r="J53" s="112"/>
      <c r="K53" s="112"/>
      <c r="L53" s="112"/>
      <c r="M53" s="112"/>
      <c r="N53" s="112"/>
      <c r="O53" s="112"/>
      <c r="P53" s="112">
        <v>2</v>
      </c>
      <c r="Q53" s="112"/>
      <c r="R53" s="112"/>
      <c r="S53" s="175">
        <v>2</v>
      </c>
      <c r="T53" s="132"/>
      <c r="U53" s="175"/>
      <c r="V53" s="112"/>
      <c r="W53" s="112"/>
      <c r="X53" s="112"/>
      <c r="Y53" s="175"/>
      <c r="Z53" s="112"/>
      <c r="AA53" s="112"/>
      <c r="AB53" s="112"/>
      <c r="AC53" s="112"/>
      <c r="AD53" s="106"/>
      <c r="AE53" s="175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  <c r="DA53" s="111"/>
      <c r="DB53" s="111"/>
      <c r="DC53" s="111"/>
      <c r="DD53" s="111"/>
      <c r="DE53" s="111"/>
      <c r="DF53" s="111"/>
      <c r="DG53" s="111"/>
      <c r="DH53" s="111"/>
      <c r="DI53" s="111"/>
      <c r="DJ53" s="111"/>
      <c r="DK53" s="111"/>
      <c r="DL53" s="111"/>
      <c r="DM53" s="111"/>
      <c r="DN53" s="111"/>
      <c r="DO53" s="111"/>
      <c r="DP53" s="111"/>
      <c r="DQ53" s="111"/>
    </row>
    <row r="54" spans="1:121" s="197" customFormat="1" x14ac:dyDescent="0.35">
      <c r="A54" s="158">
        <v>64</v>
      </c>
      <c r="B54" s="282" t="s">
        <v>519</v>
      </c>
      <c r="C54" s="194">
        <f t="shared" si="0"/>
        <v>2</v>
      </c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>
        <v>2</v>
      </c>
      <c r="R54" s="112"/>
      <c r="S54" s="175">
        <v>2</v>
      </c>
      <c r="T54" s="132"/>
      <c r="U54" s="175"/>
      <c r="V54" s="112"/>
      <c r="W54" s="112"/>
      <c r="X54" s="112"/>
      <c r="Y54" s="175"/>
      <c r="Z54" s="112"/>
      <c r="AA54" s="112"/>
      <c r="AB54" s="112"/>
      <c r="AC54" s="112"/>
      <c r="AD54" s="106"/>
      <c r="AE54" s="175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  <c r="DB54" s="111"/>
      <c r="DC54" s="111"/>
      <c r="DD54" s="111"/>
      <c r="DE54" s="111"/>
      <c r="DF54" s="111"/>
      <c r="DG54" s="111"/>
      <c r="DH54" s="111"/>
      <c r="DI54" s="111"/>
      <c r="DJ54" s="111"/>
      <c r="DK54" s="111"/>
      <c r="DL54" s="111"/>
      <c r="DM54" s="111"/>
      <c r="DN54" s="111"/>
      <c r="DO54" s="111"/>
      <c r="DP54" s="111"/>
      <c r="DQ54" s="111"/>
    </row>
    <row r="55" spans="1:121" s="197" customFormat="1" x14ac:dyDescent="0.35">
      <c r="A55" s="158">
        <v>67</v>
      </c>
      <c r="B55" s="278" t="s">
        <v>520</v>
      </c>
      <c r="C55" s="194">
        <f t="shared" si="0"/>
        <v>1</v>
      </c>
      <c r="D55" s="112"/>
      <c r="E55" s="112"/>
      <c r="F55" s="112"/>
      <c r="G55" s="112">
        <v>2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28"/>
      <c r="U55" s="112"/>
      <c r="V55" s="112"/>
      <c r="W55" s="112"/>
      <c r="X55" s="112"/>
      <c r="Y55" s="112"/>
      <c r="Z55" s="112"/>
      <c r="AA55" s="112"/>
      <c r="AB55" s="112"/>
      <c r="AC55" s="112"/>
      <c r="AD55" s="106"/>
      <c r="AE55" s="175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  <c r="DB55" s="111"/>
      <c r="DC55" s="111"/>
      <c r="DD55" s="111"/>
      <c r="DE55" s="111"/>
      <c r="DF55" s="111"/>
      <c r="DG55" s="111"/>
      <c r="DH55" s="111"/>
      <c r="DI55" s="111"/>
      <c r="DJ55" s="111"/>
      <c r="DK55" s="111"/>
      <c r="DL55" s="111"/>
      <c r="DM55" s="111"/>
      <c r="DN55" s="111"/>
      <c r="DO55" s="111"/>
      <c r="DP55" s="111"/>
      <c r="DQ55" s="111"/>
    </row>
    <row r="56" spans="1:121" x14ac:dyDescent="0.35">
      <c r="A56" s="159">
        <v>23</v>
      </c>
      <c r="B56" s="277" t="s">
        <v>616</v>
      </c>
      <c r="C56" s="194">
        <f t="shared" si="0"/>
        <v>3</v>
      </c>
      <c r="D56" s="112"/>
      <c r="F56" s="169">
        <v>2</v>
      </c>
      <c r="G56" s="112"/>
      <c r="H56" s="112"/>
      <c r="I56" s="112"/>
      <c r="K56" s="112"/>
      <c r="L56" s="112"/>
      <c r="M56" s="112"/>
      <c r="N56" s="112"/>
      <c r="O56" s="169">
        <v>2</v>
      </c>
      <c r="P56" s="102"/>
      <c r="Q56" s="112"/>
      <c r="R56" s="104">
        <v>2</v>
      </c>
      <c r="S56" s="104"/>
      <c r="T56" s="133"/>
      <c r="U56" s="104"/>
      <c r="V56" s="112"/>
      <c r="W56" s="112"/>
      <c r="Y56" s="104"/>
    </row>
    <row r="57" spans="1:121" x14ac:dyDescent="0.35">
      <c r="A57" s="160">
        <v>72</v>
      </c>
      <c r="B57" s="277" t="s">
        <v>521</v>
      </c>
      <c r="C57" s="194">
        <f t="shared" si="0"/>
        <v>1</v>
      </c>
      <c r="D57" s="112"/>
      <c r="G57" s="112"/>
      <c r="H57" s="112"/>
      <c r="I57" s="112"/>
      <c r="K57" s="112"/>
      <c r="L57" s="112"/>
      <c r="M57" s="112"/>
      <c r="N57" s="112"/>
      <c r="O57" s="112"/>
      <c r="P57" s="112"/>
      <c r="Q57" s="112"/>
      <c r="R57" s="112"/>
      <c r="S57" s="112"/>
      <c r="T57" s="128"/>
      <c r="U57" s="112"/>
      <c r="V57" s="112"/>
      <c r="W57" s="186"/>
      <c r="Y57" s="187">
        <v>2</v>
      </c>
    </row>
    <row r="58" spans="1:121" x14ac:dyDescent="0.35">
      <c r="A58" s="160">
        <v>91</v>
      </c>
      <c r="B58" s="278" t="s">
        <v>522</v>
      </c>
      <c r="C58" s="194">
        <f t="shared" si="0"/>
        <v>2</v>
      </c>
      <c r="D58" s="112"/>
      <c r="G58" s="112"/>
      <c r="H58" s="112"/>
      <c r="I58" s="112"/>
      <c r="K58" s="112"/>
      <c r="L58" s="112"/>
      <c r="M58" s="112"/>
      <c r="N58" s="169">
        <v>2</v>
      </c>
      <c r="O58" s="169">
        <v>2</v>
      </c>
      <c r="P58" s="112"/>
      <c r="Q58" s="112"/>
      <c r="R58" s="112"/>
      <c r="S58" s="112"/>
      <c r="T58" s="128"/>
      <c r="U58" s="112"/>
      <c r="V58" s="112"/>
      <c r="W58" s="112"/>
      <c r="Y58" s="112"/>
    </row>
    <row r="59" spans="1:121" x14ac:dyDescent="0.35">
      <c r="A59" s="160">
        <v>74</v>
      </c>
      <c r="B59" s="277" t="s">
        <v>523</v>
      </c>
      <c r="C59" s="194">
        <f t="shared" si="0"/>
        <v>1</v>
      </c>
      <c r="D59" s="112"/>
      <c r="G59" s="112"/>
      <c r="H59" s="112"/>
      <c r="I59" s="112"/>
      <c r="K59" s="112"/>
      <c r="L59" s="112"/>
      <c r="M59" s="112"/>
      <c r="N59" s="112"/>
      <c r="O59" s="112"/>
      <c r="P59" s="112"/>
      <c r="Q59" s="112"/>
      <c r="R59" s="112"/>
      <c r="S59" s="112"/>
      <c r="T59" s="128"/>
      <c r="U59" s="112"/>
      <c r="V59" s="112"/>
      <c r="W59" s="186"/>
      <c r="Y59" s="187">
        <v>2</v>
      </c>
    </row>
    <row r="60" spans="1:121" x14ac:dyDescent="0.35">
      <c r="A60" s="160">
        <v>75</v>
      </c>
      <c r="B60" s="277" t="s">
        <v>524</v>
      </c>
      <c r="C60" s="194">
        <f t="shared" si="0"/>
        <v>1</v>
      </c>
      <c r="D60" s="108"/>
      <c r="G60" s="112"/>
      <c r="H60" s="112"/>
      <c r="I60" s="112"/>
      <c r="K60" s="112"/>
      <c r="L60" s="112"/>
      <c r="M60" s="112"/>
      <c r="N60" s="112"/>
      <c r="O60" s="112"/>
      <c r="P60" s="112"/>
      <c r="Q60" s="112"/>
      <c r="R60" s="112"/>
      <c r="S60" s="112"/>
      <c r="T60" s="128"/>
      <c r="U60" s="112"/>
      <c r="V60" s="112"/>
      <c r="W60" s="112"/>
      <c r="Y60" s="169">
        <v>2</v>
      </c>
    </row>
    <row r="61" spans="1:121" x14ac:dyDescent="0.35">
      <c r="A61" s="160">
        <v>76</v>
      </c>
      <c r="B61" s="277" t="s">
        <v>525</v>
      </c>
      <c r="C61" s="194">
        <f t="shared" si="0"/>
        <v>2</v>
      </c>
      <c r="D61" s="112"/>
      <c r="G61" s="112"/>
      <c r="H61" s="112"/>
      <c r="I61" s="112"/>
      <c r="K61" s="112"/>
      <c r="L61" s="112"/>
      <c r="M61" s="112"/>
      <c r="N61" s="112"/>
      <c r="O61" s="112"/>
      <c r="P61" s="112"/>
      <c r="Q61" s="112"/>
      <c r="R61" s="112"/>
      <c r="S61" s="175">
        <v>2</v>
      </c>
      <c r="T61" s="132"/>
      <c r="U61" s="175"/>
      <c r="V61" s="112"/>
      <c r="W61" s="186"/>
      <c r="Y61" s="187">
        <v>2</v>
      </c>
    </row>
    <row r="62" spans="1:121" x14ac:dyDescent="0.35">
      <c r="A62" s="160">
        <v>94</v>
      </c>
      <c r="B62" s="278" t="s">
        <v>617</v>
      </c>
      <c r="C62" s="194">
        <f t="shared" si="0"/>
        <v>1</v>
      </c>
      <c r="D62" s="112"/>
      <c r="G62" s="112"/>
      <c r="H62" s="112"/>
      <c r="I62" s="112"/>
      <c r="K62" s="112"/>
      <c r="L62" s="112"/>
      <c r="M62" s="112"/>
      <c r="N62" s="169">
        <v>2</v>
      </c>
      <c r="O62" s="112"/>
      <c r="P62" s="112"/>
      <c r="Q62" s="112"/>
      <c r="R62" s="112"/>
      <c r="S62" s="112"/>
      <c r="T62" s="128"/>
      <c r="U62" s="112"/>
      <c r="V62" s="112"/>
      <c r="W62" s="112"/>
      <c r="Y62" s="112"/>
    </row>
    <row r="63" spans="1:121" x14ac:dyDescent="0.35">
      <c r="A63" s="160">
        <v>92</v>
      </c>
      <c r="B63" s="277" t="s">
        <v>526</v>
      </c>
      <c r="C63" s="194">
        <f t="shared" si="0"/>
        <v>3</v>
      </c>
      <c r="D63" s="112"/>
      <c r="E63" s="110">
        <v>2</v>
      </c>
      <c r="G63" s="112"/>
      <c r="H63" s="112"/>
      <c r="I63" s="112"/>
      <c r="K63" s="112"/>
      <c r="L63" s="112"/>
      <c r="M63" s="112"/>
      <c r="N63" s="112">
        <v>2</v>
      </c>
      <c r="O63" s="169">
        <v>2</v>
      </c>
      <c r="P63" s="112"/>
      <c r="Q63" s="112"/>
      <c r="R63" s="112"/>
      <c r="S63" s="112"/>
      <c r="T63" s="128"/>
      <c r="U63" s="112"/>
      <c r="V63" s="112"/>
      <c r="W63" s="112"/>
      <c r="Y63" s="112"/>
    </row>
    <row r="64" spans="1:121" x14ac:dyDescent="0.35">
      <c r="A64" s="160">
        <v>34</v>
      </c>
      <c r="B64" s="277" t="s">
        <v>618</v>
      </c>
      <c r="C64" s="194">
        <f t="shared" si="0"/>
        <v>2</v>
      </c>
      <c r="D64" s="112"/>
      <c r="G64" s="112"/>
      <c r="H64" s="112"/>
      <c r="I64" s="169">
        <v>2</v>
      </c>
      <c r="K64" s="112">
        <v>2</v>
      </c>
      <c r="L64" s="112"/>
      <c r="M64" s="112"/>
      <c r="N64" s="112"/>
      <c r="O64" s="112"/>
      <c r="P64" s="112"/>
      <c r="Q64" s="112"/>
      <c r="R64" s="112"/>
      <c r="S64" s="112"/>
      <c r="T64" s="128"/>
      <c r="U64" s="112"/>
      <c r="V64" s="112"/>
      <c r="W64" s="112"/>
      <c r="Y64" s="112"/>
    </row>
    <row r="65" spans="1:31" x14ac:dyDescent="0.35">
      <c r="A65" s="161">
        <v>58</v>
      </c>
      <c r="B65" s="278" t="s">
        <v>584</v>
      </c>
      <c r="C65" s="194">
        <f t="shared" si="0"/>
        <v>1</v>
      </c>
      <c r="D65" s="112"/>
      <c r="G65" s="112">
        <v>2</v>
      </c>
      <c r="H65" s="112"/>
      <c r="I65" s="112"/>
      <c r="K65" s="112"/>
      <c r="L65" s="112"/>
      <c r="M65" s="112"/>
      <c r="N65" s="112"/>
      <c r="O65" s="112"/>
      <c r="P65" s="112"/>
      <c r="Q65" s="112"/>
      <c r="R65" s="112"/>
      <c r="S65" s="112"/>
      <c r="T65" s="128"/>
      <c r="U65" s="112"/>
      <c r="V65" s="112"/>
      <c r="W65" s="112"/>
      <c r="Y65" s="112"/>
    </row>
    <row r="66" spans="1:31" x14ac:dyDescent="0.35">
      <c r="A66" s="162">
        <v>77</v>
      </c>
      <c r="B66" s="278" t="s">
        <v>585</v>
      </c>
      <c r="C66" s="194">
        <f t="shared" si="0"/>
        <v>1</v>
      </c>
      <c r="D66" s="112"/>
      <c r="G66" s="112">
        <v>2</v>
      </c>
      <c r="H66" s="112"/>
      <c r="I66" s="112"/>
      <c r="K66" s="112"/>
      <c r="L66" s="112"/>
      <c r="M66" s="112"/>
      <c r="N66" s="112"/>
      <c r="O66" s="112"/>
      <c r="P66" s="112"/>
      <c r="Q66" s="112"/>
      <c r="R66" s="112"/>
      <c r="S66" s="112"/>
      <c r="T66" s="128"/>
      <c r="U66" s="112"/>
      <c r="V66" s="112"/>
      <c r="W66" s="112"/>
      <c r="Y66" s="112"/>
    </row>
    <row r="67" spans="1:31" x14ac:dyDescent="0.35">
      <c r="A67" s="162">
        <v>78</v>
      </c>
      <c r="B67" s="278" t="s">
        <v>586</v>
      </c>
      <c r="C67" s="194">
        <f t="shared" si="0"/>
        <v>1</v>
      </c>
      <c r="D67" s="112"/>
      <c r="G67" s="112">
        <v>2</v>
      </c>
      <c r="H67" s="112"/>
      <c r="I67" s="112"/>
      <c r="K67" s="112"/>
      <c r="L67" s="112"/>
      <c r="M67" s="112"/>
      <c r="N67" s="112"/>
      <c r="O67" s="112"/>
      <c r="P67" s="112"/>
      <c r="Q67" s="112"/>
      <c r="R67" s="112"/>
      <c r="S67" s="112"/>
      <c r="T67" s="128"/>
      <c r="U67" s="112"/>
      <c r="V67" s="112"/>
      <c r="W67" s="112"/>
      <c r="Y67" s="112"/>
    </row>
    <row r="68" spans="1:31" x14ac:dyDescent="0.35">
      <c r="A68" s="163">
        <v>79</v>
      </c>
      <c r="B68" s="278" t="s">
        <v>587</v>
      </c>
      <c r="C68" s="194">
        <f t="shared" ref="C68:C87" si="1">COUNTIF(D68:AE68,"&gt;0")</f>
        <v>3</v>
      </c>
      <c r="D68" s="112"/>
      <c r="G68" s="112">
        <v>2</v>
      </c>
      <c r="H68" s="112"/>
      <c r="I68" s="112"/>
      <c r="K68" s="112"/>
      <c r="L68" s="112"/>
      <c r="M68" s="112"/>
      <c r="N68" s="112"/>
      <c r="O68" s="169">
        <v>2</v>
      </c>
      <c r="P68" s="112"/>
      <c r="Q68" s="112"/>
      <c r="R68" s="112"/>
      <c r="S68" s="175">
        <v>2</v>
      </c>
      <c r="T68" s="132"/>
      <c r="U68" s="175"/>
      <c r="V68" s="112"/>
      <c r="W68" s="112"/>
      <c r="Y68" s="175"/>
    </row>
    <row r="69" spans="1:31" x14ac:dyDescent="0.35">
      <c r="A69" s="163">
        <v>81</v>
      </c>
      <c r="B69" s="282" t="s">
        <v>527</v>
      </c>
      <c r="C69" s="194">
        <f t="shared" si="1"/>
        <v>2</v>
      </c>
      <c r="D69" s="112"/>
      <c r="G69" s="112"/>
      <c r="H69" s="112"/>
      <c r="I69" s="112"/>
      <c r="K69" s="112"/>
      <c r="L69" s="112"/>
      <c r="M69" s="112"/>
      <c r="N69" s="112"/>
      <c r="O69" s="112"/>
      <c r="P69" s="112"/>
      <c r="Q69" s="110">
        <v>2</v>
      </c>
      <c r="R69" s="110"/>
      <c r="S69" s="175">
        <v>2</v>
      </c>
      <c r="T69" s="132"/>
      <c r="U69" s="175"/>
      <c r="V69" s="112"/>
      <c r="W69" s="112"/>
      <c r="Y69" s="175"/>
    </row>
    <row r="70" spans="1:31" x14ac:dyDescent="0.35">
      <c r="A70" s="163"/>
      <c r="B70" s="278" t="s">
        <v>619</v>
      </c>
      <c r="C70" s="194">
        <f t="shared" si="1"/>
        <v>4</v>
      </c>
      <c r="D70" s="112"/>
      <c r="G70" s="112">
        <v>2</v>
      </c>
      <c r="H70" s="112"/>
      <c r="I70" s="112"/>
      <c r="K70" s="112"/>
      <c r="L70" s="112"/>
      <c r="M70" s="112"/>
      <c r="N70" s="112"/>
      <c r="O70" s="112"/>
      <c r="P70" s="112"/>
      <c r="Q70" s="180">
        <v>2</v>
      </c>
      <c r="R70" s="112"/>
      <c r="S70" s="175">
        <v>2</v>
      </c>
      <c r="T70" s="132"/>
      <c r="U70" s="175"/>
      <c r="V70" s="112"/>
      <c r="W70" s="112"/>
      <c r="Y70" s="175"/>
      <c r="AE70" s="175">
        <v>2</v>
      </c>
    </row>
    <row r="71" spans="1:31" x14ac:dyDescent="0.35">
      <c r="A71" s="140">
        <v>88</v>
      </c>
      <c r="B71" s="278" t="s">
        <v>620</v>
      </c>
      <c r="C71" s="194">
        <f t="shared" si="1"/>
        <v>2</v>
      </c>
      <c r="D71" s="112"/>
      <c r="G71" s="112"/>
      <c r="H71" s="107">
        <v>2</v>
      </c>
      <c r="I71" s="107"/>
      <c r="K71" s="112"/>
      <c r="L71" s="112"/>
      <c r="M71" s="112"/>
      <c r="N71" s="112"/>
      <c r="O71" s="112"/>
      <c r="P71" s="112"/>
      <c r="Q71" s="112"/>
      <c r="R71" s="112"/>
      <c r="S71" s="175">
        <v>2</v>
      </c>
      <c r="T71" s="132"/>
      <c r="U71" s="175"/>
      <c r="V71" s="112"/>
      <c r="W71" s="112"/>
      <c r="Y71" s="175"/>
    </row>
    <row r="72" spans="1:31" x14ac:dyDescent="0.35">
      <c r="A72" s="140">
        <v>61</v>
      </c>
      <c r="B72" s="278" t="s">
        <v>528</v>
      </c>
      <c r="C72" s="194">
        <f t="shared" si="1"/>
        <v>1</v>
      </c>
      <c r="D72" s="112"/>
      <c r="G72" s="112"/>
      <c r="H72" s="107">
        <v>2</v>
      </c>
      <c r="I72" s="107"/>
      <c r="K72" s="112"/>
      <c r="L72" s="112"/>
      <c r="M72" s="112"/>
      <c r="N72" s="112"/>
      <c r="O72" s="112"/>
      <c r="P72" s="112"/>
      <c r="Q72" s="112"/>
      <c r="R72" s="112"/>
      <c r="S72" s="112"/>
      <c r="T72" s="128"/>
      <c r="U72" s="112"/>
      <c r="V72" s="112"/>
      <c r="W72" s="112"/>
      <c r="Y72" s="112"/>
    </row>
    <row r="73" spans="1:31" ht="31" x14ac:dyDescent="0.35">
      <c r="A73" s="140">
        <v>31</v>
      </c>
      <c r="B73" s="278" t="s">
        <v>588</v>
      </c>
      <c r="C73" s="194">
        <f t="shared" si="1"/>
        <v>1</v>
      </c>
      <c r="D73" s="112"/>
      <c r="G73" s="112"/>
      <c r="H73" s="112"/>
      <c r="I73" s="112"/>
      <c r="K73" s="112"/>
      <c r="L73" s="112"/>
      <c r="M73" s="112"/>
      <c r="N73" s="112"/>
      <c r="O73" s="112"/>
      <c r="P73" s="102">
        <v>2</v>
      </c>
      <c r="Q73" s="112"/>
      <c r="R73" s="112"/>
      <c r="S73" s="112"/>
      <c r="T73" s="128"/>
      <c r="U73" s="112"/>
      <c r="V73" s="112"/>
      <c r="W73" s="112"/>
      <c r="Y73" s="112"/>
    </row>
    <row r="74" spans="1:31" x14ac:dyDescent="0.35">
      <c r="A74" s="128">
        <v>39</v>
      </c>
      <c r="B74" s="277" t="s">
        <v>529</v>
      </c>
      <c r="C74" s="194">
        <f t="shared" si="1"/>
        <v>7</v>
      </c>
      <c r="D74" s="108">
        <v>2</v>
      </c>
      <c r="G74" s="112">
        <v>2</v>
      </c>
      <c r="H74" s="112"/>
      <c r="I74" s="169">
        <v>2</v>
      </c>
      <c r="K74" s="112">
        <v>2</v>
      </c>
      <c r="L74" s="112"/>
      <c r="M74" s="112"/>
      <c r="N74" s="112"/>
      <c r="O74" s="112"/>
      <c r="P74" s="102">
        <v>2</v>
      </c>
      <c r="Q74" s="112"/>
      <c r="R74" s="112"/>
      <c r="S74" s="112"/>
      <c r="T74" s="128"/>
      <c r="U74" s="112"/>
      <c r="V74" s="112"/>
      <c r="W74" s="112">
        <v>2</v>
      </c>
      <c r="Y74" s="112"/>
      <c r="AD74" s="175">
        <v>2</v>
      </c>
    </row>
    <row r="75" spans="1:31" x14ac:dyDescent="0.35">
      <c r="A75" s="128">
        <v>40</v>
      </c>
      <c r="B75" s="277" t="s">
        <v>530</v>
      </c>
      <c r="C75" s="194">
        <f t="shared" si="1"/>
        <v>11</v>
      </c>
      <c r="D75" s="112"/>
      <c r="F75" s="102">
        <v>2</v>
      </c>
      <c r="G75" s="112"/>
      <c r="H75" s="112"/>
      <c r="I75" s="112"/>
      <c r="K75" s="112">
        <v>2</v>
      </c>
      <c r="L75" s="169">
        <v>2</v>
      </c>
      <c r="M75" s="169"/>
      <c r="N75" s="169"/>
      <c r="O75" s="169"/>
      <c r="P75" s="102">
        <v>2</v>
      </c>
      <c r="Q75" s="110">
        <v>2</v>
      </c>
      <c r="R75" s="104">
        <v>2</v>
      </c>
      <c r="S75" s="169">
        <v>2</v>
      </c>
      <c r="T75" s="131"/>
      <c r="U75" s="107">
        <v>2</v>
      </c>
      <c r="V75" s="112"/>
      <c r="W75" s="112"/>
      <c r="Y75" s="112"/>
      <c r="AA75" s="110">
        <v>2</v>
      </c>
      <c r="AC75" s="110">
        <v>2</v>
      </c>
      <c r="AD75" s="175">
        <v>2</v>
      </c>
    </row>
    <row r="76" spans="1:31" x14ac:dyDescent="0.35">
      <c r="A76" s="128">
        <v>93</v>
      </c>
      <c r="B76" s="278" t="s">
        <v>531</v>
      </c>
      <c r="C76" s="194">
        <f t="shared" si="1"/>
        <v>2</v>
      </c>
      <c r="D76" s="112"/>
      <c r="G76" s="112"/>
      <c r="H76" s="112"/>
      <c r="I76" s="112"/>
      <c r="K76" s="112"/>
      <c r="L76" s="112"/>
      <c r="M76" s="112"/>
      <c r="N76" s="169">
        <v>2</v>
      </c>
      <c r="O76" s="169">
        <v>2</v>
      </c>
      <c r="P76" s="112"/>
      <c r="Q76" s="112"/>
      <c r="R76" s="112"/>
      <c r="S76" s="112"/>
      <c r="T76" s="128"/>
      <c r="U76" s="112"/>
      <c r="V76" s="112"/>
      <c r="W76" s="112"/>
      <c r="Y76" s="112"/>
    </row>
    <row r="77" spans="1:31" x14ac:dyDescent="0.35">
      <c r="A77" s="128">
        <v>57</v>
      </c>
      <c r="B77" s="277" t="s">
        <v>532</v>
      </c>
      <c r="C77" s="194">
        <f t="shared" si="1"/>
        <v>15</v>
      </c>
      <c r="D77" s="108">
        <v>2</v>
      </c>
      <c r="E77" s="110">
        <v>2</v>
      </c>
      <c r="F77" s="169">
        <v>2</v>
      </c>
      <c r="G77" s="112">
        <v>2</v>
      </c>
      <c r="H77" s="107">
        <v>2</v>
      </c>
      <c r="I77" s="169">
        <v>2</v>
      </c>
      <c r="J77" s="110">
        <v>2</v>
      </c>
      <c r="K77" s="112">
        <v>2</v>
      </c>
      <c r="L77" s="112"/>
      <c r="M77" s="112"/>
      <c r="N77" s="169">
        <v>2</v>
      </c>
      <c r="O77" s="112"/>
      <c r="P77" s="102">
        <v>2</v>
      </c>
      <c r="Q77" s="112"/>
      <c r="R77" s="104">
        <v>2</v>
      </c>
      <c r="S77" s="175">
        <v>2</v>
      </c>
      <c r="T77" s="132"/>
      <c r="U77" s="175"/>
      <c r="V77" s="112"/>
      <c r="W77" s="112">
        <v>2</v>
      </c>
      <c r="Y77" s="175"/>
      <c r="AB77" s="110">
        <v>2</v>
      </c>
      <c r="AC77" s="110">
        <v>2</v>
      </c>
    </row>
    <row r="78" spans="1:31" x14ac:dyDescent="0.35">
      <c r="A78" s="128">
        <v>71</v>
      </c>
      <c r="B78" s="277" t="s">
        <v>533</v>
      </c>
      <c r="C78" s="194">
        <f>COUNTIF(D78:AE78,"&gt;0")</f>
        <v>14</v>
      </c>
      <c r="D78" s="112"/>
      <c r="E78" s="110">
        <v>2</v>
      </c>
      <c r="G78" s="112">
        <v>2</v>
      </c>
      <c r="H78" s="112"/>
      <c r="I78" s="169">
        <v>2</v>
      </c>
      <c r="J78" s="110">
        <v>2</v>
      </c>
      <c r="K78" s="112">
        <v>2</v>
      </c>
      <c r="L78" s="169">
        <v>2</v>
      </c>
      <c r="M78" s="169"/>
      <c r="N78" s="172">
        <v>2</v>
      </c>
      <c r="O78" s="169"/>
      <c r="P78" s="178">
        <v>2</v>
      </c>
      <c r="Q78" s="112"/>
      <c r="R78" s="112"/>
      <c r="S78" s="175">
        <v>2</v>
      </c>
      <c r="T78" s="132">
        <v>2</v>
      </c>
      <c r="U78" s="175"/>
      <c r="V78" s="112"/>
      <c r="W78" s="112">
        <v>2</v>
      </c>
      <c r="Y78" s="169">
        <v>2</v>
      </c>
      <c r="AA78" s="110">
        <v>2</v>
      </c>
      <c r="AD78" s="175">
        <v>2</v>
      </c>
    </row>
    <row r="79" spans="1:31" s="194" customFormat="1" x14ac:dyDescent="0.35">
      <c r="B79" s="194" t="s">
        <v>675</v>
      </c>
      <c r="C79" s="194">
        <f>COUNTIF(D79:AE79,"&gt;0")</f>
        <v>2</v>
      </c>
      <c r="L79" s="169">
        <v>2</v>
      </c>
      <c r="AA79" s="169">
        <v>2</v>
      </c>
    </row>
    <row r="80" spans="1:31" ht="31" x14ac:dyDescent="0.35">
      <c r="B80" s="278" t="s">
        <v>621</v>
      </c>
      <c r="C80" s="194">
        <f t="shared" si="1"/>
        <v>2</v>
      </c>
      <c r="N80" s="169">
        <v>2</v>
      </c>
      <c r="O80" s="169">
        <v>2</v>
      </c>
    </row>
    <row r="81" spans="2:32" x14ac:dyDescent="0.35">
      <c r="B81" s="278" t="s">
        <v>534</v>
      </c>
      <c r="C81" s="194">
        <f t="shared" si="1"/>
        <v>1</v>
      </c>
      <c r="O81" s="169">
        <v>2</v>
      </c>
    </row>
    <row r="82" spans="2:32" x14ac:dyDescent="0.35">
      <c r="B82" s="278" t="s">
        <v>678</v>
      </c>
      <c r="C82" s="194">
        <f t="shared" si="1"/>
        <v>1</v>
      </c>
      <c r="O82" s="169">
        <v>2</v>
      </c>
    </row>
    <row r="83" spans="2:32" x14ac:dyDescent="0.35">
      <c r="B83" s="282" t="s">
        <v>622</v>
      </c>
      <c r="C83" s="194">
        <f t="shared" si="1"/>
        <v>1</v>
      </c>
      <c r="S83" s="175">
        <v>2</v>
      </c>
      <c r="T83" s="132"/>
      <c r="U83" s="175"/>
      <c r="Y83" s="175"/>
    </row>
    <row r="84" spans="2:32" x14ac:dyDescent="0.35">
      <c r="B84" s="282" t="s">
        <v>535</v>
      </c>
      <c r="C84" s="194">
        <f t="shared" si="1"/>
        <v>1</v>
      </c>
      <c r="S84" s="175">
        <v>2</v>
      </c>
      <c r="T84" s="132"/>
      <c r="U84" s="175"/>
      <c r="Y84" s="175"/>
    </row>
    <row r="85" spans="2:32" x14ac:dyDescent="0.35">
      <c r="B85" s="277" t="s">
        <v>536</v>
      </c>
      <c r="C85" s="194">
        <f t="shared" si="1"/>
        <v>1</v>
      </c>
      <c r="Y85" s="187">
        <v>2</v>
      </c>
    </row>
    <row r="86" spans="2:32" x14ac:dyDescent="0.35">
      <c r="B86" s="277" t="s">
        <v>623</v>
      </c>
      <c r="C86" s="194">
        <f t="shared" si="1"/>
        <v>1</v>
      </c>
      <c r="AD86" s="175">
        <v>2</v>
      </c>
    </row>
    <row r="87" spans="2:32" x14ac:dyDescent="0.35">
      <c r="B87" s="282" t="s">
        <v>624</v>
      </c>
      <c r="C87" s="194">
        <f t="shared" si="1"/>
        <v>1</v>
      </c>
      <c r="AE87" s="175">
        <v>2</v>
      </c>
    </row>
    <row r="88" spans="2:32" x14ac:dyDescent="0.3">
      <c r="C88" s="113">
        <f>AVERAGE(C2:C87)</f>
        <v>5.6705882352941179</v>
      </c>
    </row>
    <row r="89" spans="2:32" x14ac:dyDescent="0.3">
      <c r="B89" s="277" t="s">
        <v>666</v>
      </c>
      <c r="D89" s="106">
        <f>COUNTIF(D3:D87,2)</f>
        <v>19</v>
      </c>
      <c r="E89" s="106">
        <f t="shared" ref="E89:AE89" si="2">COUNTIF(E3:E87,2)</f>
        <v>12</v>
      </c>
      <c r="F89" s="106">
        <f t="shared" si="2"/>
        <v>17</v>
      </c>
      <c r="G89" s="106">
        <f>COUNTIF(G3:G87,2)</f>
        <v>24</v>
      </c>
      <c r="H89" s="106">
        <f t="shared" si="2"/>
        <v>16</v>
      </c>
      <c r="I89" s="106">
        <f t="shared" si="2"/>
        <v>19</v>
      </c>
      <c r="J89" s="106">
        <f t="shared" si="2"/>
        <v>6</v>
      </c>
      <c r="K89" s="106">
        <f t="shared" si="2"/>
        <v>20</v>
      </c>
      <c r="L89" s="106">
        <f>COUNTIF(L3:L87,2)</f>
        <v>11</v>
      </c>
      <c r="M89" s="106">
        <f t="shared" si="2"/>
        <v>7</v>
      </c>
      <c r="N89" s="106">
        <f t="shared" si="2"/>
        <v>16</v>
      </c>
      <c r="O89" s="106">
        <f t="shared" si="2"/>
        <v>17</v>
      </c>
      <c r="P89" s="106">
        <f t="shared" si="2"/>
        <v>26</v>
      </c>
      <c r="Q89" s="106">
        <f t="shared" si="2"/>
        <v>14</v>
      </c>
      <c r="R89" s="106">
        <f t="shared" si="2"/>
        <v>16</v>
      </c>
      <c r="S89" s="106">
        <f t="shared" si="2"/>
        <v>29</v>
      </c>
      <c r="T89" s="106">
        <f t="shared" si="2"/>
        <v>7</v>
      </c>
      <c r="U89" s="106">
        <f t="shared" si="2"/>
        <v>10</v>
      </c>
      <c r="V89" s="106">
        <f t="shared" si="2"/>
        <v>4</v>
      </c>
      <c r="W89" s="106">
        <f t="shared" si="2"/>
        <v>20</v>
      </c>
      <c r="X89" s="106">
        <f t="shared" si="2"/>
        <v>4</v>
      </c>
      <c r="Y89" s="106">
        <f t="shared" si="2"/>
        <v>24</v>
      </c>
      <c r="Z89" s="106">
        <f t="shared" si="2"/>
        <v>2</v>
      </c>
      <c r="AA89" s="106">
        <f t="shared" si="2"/>
        <v>12</v>
      </c>
      <c r="AB89" s="106">
        <f t="shared" si="2"/>
        <v>4</v>
      </c>
      <c r="AC89" s="106">
        <f t="shared" si="2"/>
        <v>12</v>
      </c>
      <c r="AD89" s="106">
        <f t="shared" si="2"/>
        <v>11</v>
      </c>
      <c r="AE89" s="106">
        <f t="shared" si="2"/>
        <v>8</v>
      </c>
      <c r="AF89" s="195">
        <f>SUM(D89:AE89)</f>
        <v>387</v>
      </c>
    </row>
    <row r="90" spans="2:32" x14ac:dyDescent="0.3">
      <c r="B90" s="277" t="s">
        <v>667</v>
      </c>
      <c r="D90" s="106">
        <f>COUNTIF(D3:D87,1)</f>
        <v>7</v>
      </c>
      <c r="E90" s="106">
        <f>COUNTIF(E3:E87,1)</f>
        <v>0</v>
      </c>
      <c r="F90" s="106">
        <f t="shared" ref="F90:AE90" si="3">COUNTIF(F3:F87,1)</f>
        <v>2</v>
      </c>
      <c r="G90" s="106">
        <f>COUNTIF(G3:G87,1)</f>
        <v>8</v>
      </c>
      <c r="H90" s="106">
        <f t="shared" si="3"/>
        <v>5</v>
      </c>
      <c r="I90" s="106">
        <f t="shared" si="3"/>
        <v>1</v>
      </c>
      <c r="J90" s="106">
        <f t="shared" si="3"/>
        <v>0</v>
      </c>
      <c r="K90" s="106">
        <f t="shared" si="3"/>
        <v>3</v>
      </c>
      <c r="L90" s="106">
        <f t="shared" si="3"/>
        <v>9</v>
      </c>
      <c r="M90" s="106">
        <f t="shared" si="3"/>
        <v>0</v>
      </c>
      <c r="N90" s="106">
        <f t="shared" si="3"/>
        <v>7</v>
      </c>
      <c r="O90" s="106">
        <f t="shared" si="3"/>
        <v>7</v>
      </c>
      <c r="P90" s="106">
        <f t="shared" si="3"/>
        <v>0</v>
      </c>
      <c r="Q90" s="106">
        <f t="shared" si="3"/>
        <v>4</v>
      </c>
      <c r="R90" s="106">
        <f t="shared" si="3"/>
        <v>0</v>
      </c>
      <c r="S90" s="106">
        <f t="shared" si="3"/>
        <v>6</v>
      </c>
      <c r="T90" s="106">
        <f t="shared" si="3"/>
        <v>0</v>
      </c>
      <c r="U90" s="106">
        <f t="shared" si="3"/>
        <v>0</v>
      </c>
      <c r="V90" s="106">
        <f t="shared" si="3"/>
        <v>0</v>
      </c>
      <c r="W90" s="106">
        <f t="shared" si="3"/>
        <v>9</v>
      </c>
      <c r="X90" s="106">
        <f t="shared" si="3"/>
        <v>0</v>
      </c>
      <c r="Y90" s="106">
        <f t="shared" si="3"/>
        <v>8</v>
      </c>
      <c r="Z90" s="106">
        <f t="shared" si="3"/>
        <v>0</v>
      </c>
      <c r="AA90" s="106">
        <f t="shared" si="3"/>
        <v>9</v>
      </c>
      <c r="AB90" s="106">
        <f t="shared" si="3"/>
        <v>3</v>
      </c>
      <c r="AC90" s="106">
        <f t="shared" si="3"/>
        <v>1</v>
      </c>
      <c r="AD90" s="106">
        <f t="shared" si="3"/>
        <v>4</v>
      </c>
      <c r="AE90" s="106">
        <f t="shared" si="3"/>
        <v>2</v>
      </c>
      <c r="AF90" s="195">
        <f>SUM(D90:AE90)</f>
        <v>95</v>
      </c>
    </row>
    <row r="91" spans="2:32" x14ac:dyDescent="0.3">
      <c r="D91" s="106">
        <f>SUM(D89:D90)</f>
        <v>26</v>
      </c>
      <c r="E91" s="106">
        <f t="shared" ref="E91:AD91" si="4">SUM(E89:E90)</f>
        <v>12</v>
      </c>
      <c r="F91" s="106">
        <f t="shared" si="4"/>
        <v>19</v>
      </c>
      <c r="G91" s="106">
        <f t="shared" si="4"/>
        <v>32</v>
      </c>
      <c r="H91" s="106">
        <f t="shared" si="4"/>
        <v>21</v>
      </c>
      <c r="I91" s="106">
        <f t="shared" si="4"/>
        <v>20</v>
      </c>
      <c r="J91" s="106">
        <f t="shared" si="4"/>
        <v>6</v>
      </c>
      <c r="K91" s="106">
        <f t="shared" si="4"/>
        <v>23</v>
      </c>
      <c r="L91" s="106">
        <f t="shared" si="4"/>
        <v>20</v>
      </c>
      <c r="M91" s="106">
        <f t="shared" si="4"/>
        <v>7</v>
      </c>
      <c r="N91" s="106">
        <f t="shared" si="4"/>
        <v>23</v>
      </c>
      <c r="O91" s="106">
        <f t="shared" si="4"/>
        <v>24</v>
      </c>
      <c r="P91" s="106">
        <f t="shared" si="4"/>
        <v>26</v>
      </c>
      <c r="Q91" s="106">
        <f t="shared" si="4"/>
        <v>18</v>
      </c>
      <c r="R91" s="106">
        <f t="shared" si="4"/>
        <v>16</v>
      </c>
      <c r="S91" s="106">
        <f t="shared" si="4"/>
        <v>35</v>
      </c>
      <c r="T91" s="106">
        <f t="shared" si="4"/>
        <v>7</v>
      </c>
      <c r="U91" s="106">
        <f t="shared" si="4"/>
        <v>10</v>
      </c>
      <c r="V91" s="106">
        <f t="shared" si="4"/>
        <v>4</v>
      </c>
      <c r="W91" s="106">
        <f t="shared" si="4"/>
        <v>29</v>
      </c>
      <c r="X91" s="106">
        <f t="shared" si="4"/>
        <v>4</v>
      </c>
      <c r="Y91" s="106">
        <f t="shared" si="4"/>
        <v>32</v>
      </c>
      <c r="Z91" s="106">
        <f t="shared" si="4"/>
        <v>2</v>
      </c>
      <c r="AA91" s="106">
        <f t="shared" si="4"/>
        <v>21</v>
      </c>
      <c r="AB91" s="106">
        <f t="shared" si="4"/>
        <v>7</v>
      </c>
      <c r="AC91" s="106">
        <f t="shared" si="4"/>
        <v>13</v>
      </c>
      <c r="AD91" s="106">
        <f t="shared" si="4"/>
        <v>15</v>
      </c>
      <c r="AE91" s="106">
        <f>SUM(AE89:AE90)</f>
        <v>10</v>
      </c>
      <c r="AF91" s="195">
        <f>SUM(D91:AE91)</f>
        <v>482</v>
      </c>
    </row>
    <row r="92" spans="2:32" x14ac:dyDescent="0.3">
      <c r="D92" s="106">
        <f>D89/D91</f>
        <v>0.73076923076923073</v>
      </c>
      <c r="E92" s="106">
        <f t="shared" ref="E92:AE92" si="5">E89/E91</f>
        <v>1</v>
      </c>
      <c r="F92" s="106">
        <f t="shared" si="5"/>
        <v>0.89473684210526316</v>
      </c>
      <c r="G92" s="106">
        <f t="shared" si="5"/>
        <v>0.75</v>
      </c>
      <c r="H92" s="106">
        <f t="shared" si="5"/>
        <v>0.76190476190476186</v>
      </c>
      <c r="I92" s="106">
        <f t="shared" si="5"/>
        <v>0.95</v>
      </c>
      <c r="J92" s="106">
        <f t="shared" si="5"/>
        <v>1</v>
      </c>
      <c r="K92" s="106">
        <f t="shared" si="5"/>
        <v>0.86956521739130432</v>
      </c>
      <c r="L92" s="106">
        <f t="shared" si="5"/>
        <v>0.55000000000000004</v>
      </c>
      <c r="M92" s="106">
        <f t="shared" si="5"/>
        <v>1</v>
      </c>
      <c r="N92" s="106">
        <f t="shared" si="5"/>
        <v>0.69565217391304346</v>
      </c>
      <c r="O92" s="106">
        <f t="shared" si="5"/>
        <v>0.70833333333333337</v>
      </c>
      <c r="P92" s="106">
        <f t="shared" si="5"/>
        <v>1</v>
      </c>
      <c r="Q92" s="106">
        <f t="shared" si="5"/>
        <v>0.77777777777777779</v>
      </c>
      <c r="R92" s="106">
        <f t="shared" si="5"/>
        <v>1</v>
      </c>
      <c r="S92" s="106">
        <f t="shared" si="5"/>
        <v>0.82857142857142863</v>
      </c>
      <c r="T92" s="106">
        <f t="shared" si="5"/>
        <v>1</v>
      </c>
      <c r="U92" s="106">
        <f t="shared" si="5"/>
        <v>1</v>
      </c>
      <c r="V92" s="106">
        <f t="shared" si="5"/>
        <v>1</v>
      </c>
      <c r="W92" s="106">
        <f t="shared" si="5"/>
        <v>0.68965517241379315</v>
      </c>
      <c r="X92" s="106">
        <f t="shared" si="5"/>
        <v>1</v>
      </c>
      <c r="Y92" s="106">
        <f t="shared" si="5"/>
        <v>0.75</v>
      </c>
      <c r="Z92" s="106">
        <f t="shared" si="5"/>
        <v>1</v>
      </c>
      <c r="AA92" s="106">
        <f t="shared" si="5"/>
        <v>0.5714285714285714</v>
      </c>
      <c r="AB92" s="106">
        <f t="shared" si="5"/>
        <v>0.5714285714285714</v>
      </c>
      <c r="AC92" s="106">
        <f t="shared" si="5"/>
        <v>0.92307692307692313</v>
      </c>
      <c r="AD92" s="106">
        <f t="shared" si="5"/>
        <v>0.73333333333333328</v>
      </c>
      <c r="AE92" s="106">
        <f t="shared" si="5"/>
        <v>0.8</v>
      </c>
    </row>
    <row r="93" spans="2:32" x14ac:dyDescent="0.3">
      <c r="D93" s="106">
        <f>D90/D91</f>
        <v>0.26923076923076922</v>
      </c>
      <c r="E93" s="106">
        <f t="shared" ref="E93:AE93" si="6">E90/E91</f>
        <v>0</v>
      </c>
      <c r="F93" s="106">
        <f t="shared" si="6"/>
        <v>0.10526315789473684</v>
      </c>
      <c r="G93" s="106">
        <f t="shared" si="6"/>
        <v>0.25</v>
      </c>
      <c r="H93" s="106">
        <f t="shared" si="6"/>
        <v>0.23809523809523808</v>
      </c>
      <c r="I93" s="106">
        <f t="shared" si="6"/>
        <v>0.05</v>
      </c>
      <c r="J93" s="106">
        <f t="shared" si="6"/>
        <v>0</v>
      </c>
      <c r="K93" s="106">
        <f t="shared" si="6"/>
        <v>0.13043478260869565</v>
      </c>
      <c r="L93" s="106">
        <f t="shared" si="6"/>
        <v>0.45</v>
      </c>
      <c r="M93" s="106">
        <f t="shared" si="6"/>
        <v>0</v>
      </c>
      <c r="N93" s="106">
        <f t="shared" si="6"/>
        <v>0.30434782608695654</v>
      </c>
      <c r="O93" s="106">
        <f t="shared" si="6"/>
        <v>0.29166666666666669</v>
      </c>
      <c r="P93" s="106">
        <f t="shared" si="6"/>
        <v>0</v>
      </c>
      <c r="Q93" s="106">
        <f t="shared" si="6"/>
        <v>0.22222222222222221</v>
      </c>
      <c r="R93" s="106">
        <f t="shared" si="6"/>
        <v>0</v>
      </c>
      <c r="S93" s="106">
        <f t="shared" si="6"/>
        <v>0.17142857142857143</v>
      </c>
      <c r="T93" s="106">
        <f t="shared" si="6"/>
        <v>0</v>
      </c>
      <c r="U93" s="106">
        <f t="shared" si="6"/>
        <v>0</v>
      </c>
      <c r="V93" s="106">
        <f t="shared" si="6"/>
        <v>0</v>
      </c>
      <c r="W93" s="106">
        <f t="shared" si="6"/>
        <v>0.31034482758620691</v>
      </c>
      <c r="X93" s="106">
        <f t="shared" si="6"/>
        <v>0</v>
      </c>
      <c r="Y93" s="106">
        <f t="shared" si="6"/>
        <v>0.25</v>
      </c>
      <c r="Z93" s="106">
        <f t="shared" si="6"/>
        <v>0</v>
      </c>
      <c r="AA93" s="106">
        <f t="shared" si="6"/>
        <v>0.42857142857142855</v>
      </c>
      <c r="AB93" s="106">
        <f t="shared" si="6"/>
        <v>0.42857142857142855</v>
      </c>
      <c r="AC93" s="106">
        <f t="shared" si="6"/>
        <v>7.6923076923076927E-2</v>
      </c>
      <c r="AD93" s="106">
        <f t="shared" si="6"/>
        <v>0.26666666666666666</v>
      </c>
      <c r="AE93" s="106">
        <f t="shared" si="6"/>
        <v>0.2</v>
      </c>
    </row>
  </sheetData>
  <phoneticPr fontId="5" type="noConversion"/>
  <conditionalFormatting sqref="A2:B2 A3:A87">
    <cfRule type="cellIs" dxfId="49" priority="19" operator="equal">
      <formula>1</formula>
    </cfRule>
  </conditionalFormatting>
  <conditionalFormatting sqref="A2:B87">
    <cfRule type="cellIs" dxfId="48" priority="2" operator="equal">
      <formula>2</formula>
    </cfRule>
  </conditionalFormatting>
  <conditionalFormatting sqref="B1:B1048576">
    <cfRule type="cellIs" dxfId="47" priority="1" operator="equal">
      <formula>1</formula>
    </cfRule>
  </conditionalFormatting>
  <conditionalFormatting sqref="B3:B87">
    <cfRule type="cellIs" dxfId="46" priority="4" operator="equal">
      <formula>2</formula>
    </cfRule>
  </conditionalFormatting>
  <conditionalFormatting sqref="B80:B1048576 B1:B78">
    <cfRule type="cellIs" dxfId="45" priority="20" operator="equal">
      <formula>2</formula>
    </cfRule>
  </conditionalFormatting>
  <conditionalFormatting sqref="B89:B90">
    <cfRule type="cellIs" dxfId="44" priority="14" operator="equal">
      <formula>2</formula>
    </cfRule>
    <cfRule type="cellIs" dxfId="43" priority="15" operator="equal">
      <formula>2</formula>
    </cfRule>
  </conditionalFormatting>
  <conditionalFormatting sqref="D4">
    <cfRule type="cellIs" dxfId="42" priority="25" operator="equal">
      <formula>2</formula>
    </cfRule>
  </conditionalFormatting>
  <conditionalFormatting sqref="D2:AE2 B1:B78 A2:B2 B80:B1048576">
    <cfRule type="cellIs" dxfId="41" priority="28" operator="equal">
      <formula>2</formula>
    </cfRule>
  </conditionalFormatting>
  <conditionalFormatting sqref="D2:AE2">
    <cfRule type="cellIs" dxfId="40" priority="27" operator="equal">
      <formula>1</formula>
    </cfRule>
  </conditionalFormatting>
  <conditionalFormatting sqref="F2">
    <cfRule type="cellIs" dxfId="39" priority="26" operator="equal">
      <formula>1</formula>
    </cfRule>
  </conditionalFormatting>
  <conditionalFormatting sqref="AE1:AE88 D2:AD87 AE94:AE1048576">
    <cfRule type="cellIs" dxfId="38" priority="23" operator="equal">
      <formula>1</formula>
    </cfRule>
    <cfRule type="cellIs" dxfId="37" priority="24" operator="equal">
      <formula>2</formula>
    </cfRule>
  </conditionalFormatting>
  <hyperlinks>
    <hyperlink ref="Y30" r:id="rId1" display="https://baike.baidu.com/item/%E6%80%A7%E6%AC%B2%E5%87%8F%E9%80%80/4352905" xr:uid="{62DEC1FA-8BEC-4F71-ADF7-032D3BC3B81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38D0-4E32-4F90-A4A6-61B7DE1AA345}">
  <dimension ref="A1:DQ92"/>
  <sheetViews>
    <sheetView topLeftCell="B1" zoomScale="85" zoomScaleNormal="85" workbookViewId="0">
      <pane xSplit="1" ySplit="2" topLeftCell="C53" activePane="bottomRight" state="frozen"/>
      <selection activeCell="B1" sqref="B1"/>
      <selection pane="topRight" activeCell="C1" sqref="C1"/>
      <selection pane="bottomLeft" activeCell="B3" sqref="B3"/>
      <selection pane="bottomRight" activeCell="B82" sqref="B82"/>
    </sheetView>
  </sheetViews>
  <sheetFormatPr defaultColWidth="8.9140625" defaultRowHeight="13" x14ac:dyDescent="0.3"/>
  <cols>
    <col min="1" max="1" width="0" style="198" hidden="1" customWidth="1"/>
    <col min="2" max="2" width="34" style="286" customWidth="1"/>
    <col min="3" max="3" width="15" style="199" customWidth="1"/>
    <col min="4" max="4" width="10.58203125" style="203" customWidth="1"/>
    <col min="5" max="5" width="9.08203125" style="203" customWidth="1"/>
    <col min="6" max="6" width="11.25" style="203" customWidth="1"/>
    <col min="7" max="7" width="11.58203125" style="203" customWidth="1"/>
    <col min="8" max="8" width="9.9140625" style="203" customWidth="1"/>
    <col min="9" max="9" width="8.75" style="203" customWidth="1"/>
    <col min="10" max="10" width="11" style="203" customWidth="1"/>
    <col min="11" max="11" width="8.9140625" style="203" customWidth="1"/>
    <col min="12" max="12" width="10.08203125" style="203" customWidth="1"/>
    <col min="13" max="13" width="11.58203125" style="203" customWidth="1"/>
    <col min="14" max="14" width="11.4140625" style="203" customWidth="1"/>
    <col min="15" max="15" width="10.58203125" style="203" customWidth="1"/>
    <col min="16" max="16" width="9" style="203" customWidth="1"/>
    <col min="17" max="17" width="9.4140625" style="203" customWidth="1"/>
    <col min="18" max="18" width="11.4140625" style="203" customWidth="1"/>
    <col min="19" max="19" width="8.33203125" style="203" customWidth="1"/>
    <col min="20" max="20" width="11.58203125" style="203" customWidth="1"/>
    <col min="21" max="21" width="15.4140625" style="203" customWidth="1"/>
    <col min="22" max="22" width="8.58203125" style="203" customWidth="1"/>
    <col min="23" max="23" width="10.58203125" style="203" customWidth="1"/>
    <col min="24" max="24" width="9.58203125" style="203" customWidth="1"/>
    <col min="25" max="25" width="10.08203125" style="203" customWidth="1"/>
    <col min="26" max="26" width="10" style="203" customWidth="1"/>
    <col min="27" max="27" width="12.08203125" style="203" customWidth="1"/>
    <col min="28" max="28" width="12.75" style="203" customWidth="1"/>
    <col min="29" max="29" width="10.6640625" style="203" customWidth="1"/>
    <col min="30" max="30" width="7.4140625" style="203" customWidth="1"/>
    <col min="31" max="31" width="12.58203125" style="203" customWidth="1"/>
    <col min="32" max="16384" width="8.9140625" style="206"/>
  </cols>
  <sheetData>
    <row r="1" spans="1:31" ht="40.5" x14ac:dyDescent="0.3">
      <c r="B1" s="286" t="s">
        <v>578</v>
      </c>
      <c r="C1" s="200" t="s">
        <v>579</v>
      </c>
    </row>
    <row r="2" spans="1:31" s="210" customFormat="1" ht="26.5" x14ac:dyDescent="0.3">
      <c r="A2" s="200" t="s">
        <v>580</v>
      </c>
      <c r="B2" s="207"/>
      <c r="C2" s="199"/>
      <c r="D2" s="203" t="s">
        <v>220</v>
      </c>
      <c r="E2" s="203" t="s">
        <v>215</v>
      </c>
      <c r="F2" s="203" t="s">
        <v>237</v>
      </c>
      <c r="G2" s="203" t="s">
        <v>221</v>
      </c>
      <c r="H2" s="203" t="s">
        <v>256</v>
      </c>
      <c r="I2" s="203" t="s">
        <v>481</v>
      </c>
      <c r="J2" s="203" t="s">
        <v>482</v>
      </c>
      <c r="K2" s="203" t="s">
        <v>218</v>
      </c>
      <c r="L2" s="203" t="s">
        <v>483</v>
      </c>
      <c r="M2" s="203" t="s">
        <v>556</v>
      </c>
      <c r="N2" s="203" t="s">
        <v>581</v>
      </c>
      <c r="O2" s="203" t="s">
        <v>582</v>
      </c>
      <c r="P2" s="203" t="s">
        <v>222</v>
      </c>
      <c r="Q2" s="203" t="s">
        <v>559</v>
      </c>
      <c r="R2" s="203" t="s">
        <v>484</v>
      </c>
      <c r="S2" s="203" t="s">
        <v>485</v>
      </c>
      <c r="T2" s="203" t="s">
        <v>665</v>
      </c>
      <c r="U2" s="203" t="s">
        <v>551</v>
      </c>
      <c r="V2" s="203" t="s">
        <v>486</v>
      </c>
      <c r="W2" s="203" t="s">
        <v>487</v>
      </c>
      <c r="X2" s="203" t="s">
        <v>488</v>
      </c>
      <c r="Y2" s="203" t="s">
        <v>398</v>
      </c>
      <c r="Z2" s="203" t="s">
        <v>489</v>
      </c>
      <c r="AA2" s="203" t="s">
        <v>554</v>
      </c>
      <c r="AB2" s="203" t="s">
        <v>590</v>
      </c>
      <c r="AC2" s="203" t="s">
        <v>216</v>
      </c>
      <c r="AD2" s="203" t="s">
        <v>424</v>
      </c>
      <c r="AE2" s="203" t="s">
        <v>461</v>
      </c>
    </row>
    <row r="3" spans="1:31" x14ac:dyDescent="0.3">
      <c r="A3" s="211">
        <v>2</v>
      </c>
      <c r="B3" s="287" t="s">
        <v>630</v>
      </c>
      <c r="C3" s="199">
        <f>COUNTIF(D3:AE3,"&gt;0")</f>
        <v>5</v>
      </c>
      <c r="N3" s="203">
        <v>1</v>
      </c>
      <c r="O3" s="203">
        <v>1</v>
      </c>
      <c r="Y3" s="203">
        <v>1</v>
      </c>
      <c r="AB3" s="203">
        <v>1</v>
      </c>
      <c r="AD3" s="203">
        <v>1</v>
      </c>
    </row>
    <row r="4" spans="1:31" x14ac:dyDescent="0.3">
      <c r="A4" s="211">
        <v>3</v>
      </c>
      <c r="B4" s="288" t="s">
        <v>490</v>
      </c>
      <c r="C4" s="199">
        <f t="shared" ref="C4:C67" si="0">COUNTIF(D4:AE4,"&gt;0")</f>
        <v>10</v>
      </c>
      <c r="D4" s="203">
        <v>1</v>
      </c>
      <c r="K4" s="203">
        <v>1</v>
      </c>
      <c r="M4" s="203">
        <v>1</v>
      </c>
      <c r="N4" s="203">
        <v>1</v>
      </c>
      <c r="O4" s="203">
        <v>1</v>
      </c>
      <c r="T4" s="203">
        <v>1</v>
      </c>
      <c r="V4" s="203">
        <v>1</v>
      </c>
      <c r="Y4" s="203">
        <v>1</v>
      </c>
      <c r="AB4" s="203">
        <v>1</v>
      </c>
      <c r="AD4" s="203">
        <v>1</v>
      </c>
    </row>
    <row r="5" spans="1:31" x14ac:dyDescent="0.3">
      <c r="A5" s="211">
        <v>4</v>
      </c>
      <c r="B5" s="288" t="s">
        <v>491</v>
      </c>
      <c r="C5" s="199">
        <f t="shared" si="0"/>
        <v>15</v>
      </c>
      <c r="F5" s="203">
        <v>1</v>
      </c>
      <c r="H5" s="203">
        <v>1</v>
      </c>
      <c r="L5" s="203">
        <v>1</v>
      </c>
      <c r="N5" s="203">
        <v>1</v>
      </c>
      <c r="O5" s="203">
        <v>1</v>
      </c>
      <c r="Q5" s="203">
        <v>1</v>
      </c>
      <c r="U5" s="203">
        <v>1</v>
      </c>
      <c r="W5" s="203">
        <v>1</v>
      </c>
      <c r="X5" s="203">
        <v>1</v>
      </c>
      <c r="Y5" s="203">
        <v>1</v>
      </c>
      <c r="AA5" s="203">
        <v>1</v>
      </c>
      <c r="AB5" s="203">
        <v>1</v>
      </c>
      <c r="AC5" s="203">
        <v>1</v>
      </c>
      <c r="AD5" s="203">
        <v>1</v>
      </c>
      <c r="AE5" s="203">
        <v>1</v>
      </c>
    </row>
    <row r="6" spans="1:31" ht="36.9" customHeight="1" x14ac:dyDescent="0.3">
      <c r="A6" s="211">
        <v>7</v>
      </c>
      <c r="B6" s="288" t="s">
        <v>492</v>
      </c>
      <c r="C6" s="199">
        <f t="shared" si="0"/>
        <v>13</v>
      </c>
      <c r="F6" s="203">
        <v>1</v>
      </c>
      <c r="G6" s="203">
        <v>1</v>
      </c>
      <c r="H6" s="203">
        <v>1</v>
      </c>
      <c r="N6" s="203">
        <v>1</v>
      </c>
      <c r="O6" s="203">
        <v>1</v>
      </c>
      <c r="R6" s="203">
        <v>1</v>
      </c>
      <c r="S6" s="203">
        <v>1</v>
      </c>
      <c r="U6" s="203">
        <v>1</v>
      </c>
      <c r="V6" s="203">
        <v>1</v>
      </c>
      <c r="Y6" s="203">
        <v>1</v>
      </c>
      <c r="Z6" s="203">
        <v>1</v>
      </c>
      <c r="AB6" s="203">
        <v>1</v>
      </c>
      <c r="AD6" s="203">
        <v>1</v>
      </c>
    </row>
    <row r="7" spans="1:31" x14ac:dyDescent="0.3">
      <c r="A7" s="211">
        <v>6</v>
      </c>
      <c r="B7" s="288" t="s">
        <v>493</v>
      </c>
      <c r="C7" s="199">
        <f t="shared" si="0"/>
        <v>16</v>
      </c>
      <c r="F7" s="203">
        <v>1</v>
      </c>
      <c r="G7" s="203">
        <v>1</v>
      </c>
      <c r="I7" s="203">
        <v>1</v>
      </c>
      <c r="K7" s="203">
        <v>1</v>
      </c>
      <c r="M7" s="203">
        <v>1</v>
      </c>
      <c r="N7" s="203">
        <v>1</v>
      </c>
      <c r="O7" s="203">
        <v>1</v>
      </c>
      <c r="P7" s="203">
        <v>1</v>
      </c>
      <c r="R7" s="203">
        <v>1</v>
      </c>
      <c r="S7" s="203">
        <v>1</v>
      </c>
      <c r="U7" s="203">
        <v>1</v>
      </c>
      <c r="V7" s="203">
        <v>1</v>
      </c>
      <c r="X7" s="203">
        <v>1</v>
      </c>
      <c r="Y7" s="203">
        <v>1</v>
      </c>
      <c r="AB7" s="203">
        <v>1</v>
      </c>
      <c r="AD7" s="203">
        <v>1</v>
      </c>
    </row>
    <row r="8" spans="1:31" x14ac:dyDescent="0.3">
      <c r="A8" s="223">
        <v>8</v>
      </c>
      <c r="B8" s="289" t="s">
        <v>494</v>
      </c>
      <c r="C8" s="199">
        <f t="shared" si="0"/>
        <v>11</v>
      </c>
      <c r="D8" s="203">
        <v>1</v>
      </c>
      <c r="F8" s="203">
        <v>1</v>
      </c>
      <c r="G8" s="203">
        <v>1</v>
      </c>
      <c r="H8" s="203">
        <v>1</v>
      </c>
      <c r="P8" s="203">
        <v>1</v>
      </c>
      <c r="R8" s="203">
        <v>1</v>
      </c>
      <c r="S8" s="203">
        <v>1</v>
      </c>
      <c r="U8" s="203">
        <v>1</v>
      </c>
      <c r="Y8" s="203">
        <v>1</v>
      </c>
      <c r="AA8" s="203">
        <v>1</v>
      </c>
      <c r="AC8" s="203">
        <v>1</v>
      </c>
    </row>
    <row r="9" spans="1:31" ht="67.25" customHeight="1" x14ac:dyDescent="0.3">
      <c r="A9" s="224">
        <v>11</v>
      </c>
      <c r="B9" s="290" t="s">
        <v>495</v>
      </c>
      <c r="C9" s="199">
        <f t="shared" si="0"/>
        <v>5</v>
      </c>
      <c r="K9" s="203">
        <v>1</v>
      </c>
      <c r="L9" s="203">
        <v>1</v>
      </c>
      <c r="Y9" s="203">
        <v>1</v>
      </c>
      <c r="AA9" s="203">
        <v>1</v>
      </c>
      <c r="AD9" s="203">
        <v>1</v>
      </c>
    </row>
    <row r="10" spans="1:31" s="202" customFormat="1" x14ac:dyDescent="0.3">
      <c r="A10" s="202">
        <v>9</v>
      </c>
      <c r="B10" s="291" t="s">
        <v>496</v>
      </c>
      <c r="C10" s="199">
        <f t="shared" si="0"/>
        <v>4</v>
      </c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>
        <v>1</v>
      </c>
      <c r="O10" s="203">
        <v>1</v>
      </c>
      <c r="P10" s="203"/>
      <c r="Q10" s="203"/>
      <c r="R10" s="203"/>
      <c r="S10" s="203"/>
      <c r="T10" s="203"/>
      <c r="U10" s="203"/>
      <c r="V10" s="203"/>
      <c r="W10" s="203">
        <v>1</v>
      </c>
      <c r="X10" s="203"/>
      <c r="Y10" s="203">
        <v>1</v>
      </c>
      <c r="Z10" s="203"/>
      <c r="AA10" s="203"/>
      <c r="AB10" s="203"/>
      <c r="AC10" s="203"/>
      <c r="AD10" s="203"/>
      <c r="AE10" s="203"/>
    </row>
    <row r="11" spans="1:31" x14ac:dyDescent="0.3">
      <c r="A11" s="228">
        <v>10</v>
      </c>
      <c r="B11" s="289" t="s">
        <v>497</v>
      </c>
      <c r="C11" s="199">
        <f t="shared" si="0"/>
        <v>7</v>
      </c>
      <c r="E11" s="203">
        <v>1</v>
      </c>
      <c r="G11" s="203">
        <v>1</v>
      </c>
      <c r="I11" s="203">
        <v>1</v>
      </c>
      <c r="N11" s="203">
        <v>1</v>
      </c>
      <c r="O11" s="203">
        <v>1</v>
      </c>
      <c r="Q11" s="203">
        <v>1</v>
      </c>
      <c r="S11" s="203">
        <v>1</v>
      </c>
    </row>
    <row r="12" spans="1:31" x14ac:dyDescent="0.3">
      <c r="A12" s="228">
        <v>56</v>
      </c>
      <c r="B12" s="289" t="s">
        <v>498</v>
      </c>
      <c r="C12" s="199">
        <f t="shared" si="0"/>
        <v>3</v>
      </c>
      <c r="G12" s="203">
        <v>1</v>
      </c>
      <c r="I12" s="203">
        <v>1</v>
      </c>
      <c r="P12" s="203">
        <v>1</v>
      </c>
    </row>
    <row r="13" spans="1:31" x14ac:dyDescent="0.3">
      <c r="A13" s="229">
        <v>1</v>
      </c>
      <c r="B13" s="289" t="s">
        <v>499</v>
      </c>
      <c r="C13" s="199">
        <f t="shared" si="0"/>
        <v>3</v>
      </c>
      <c r="D13" s="203">
        <v>1</v>
      </c>
      <c r="W13" s="203">
        <v>1</v>
      </c>
      <c r="Y13" s="203">
        <v>1</v>
      </c>
    </row>
    <row r="14" spans="1:31" x14ac:dyDescent="0.3">
      <c r="A14" s="229">
        <v>13</v>
      </c>
      <c r="B14" s="289" t="s">
        <v>604</v>
      </c>
      <c r="C14" s="199">
        <f t="shared" si="0"/>
        <v>5</v>
      </c>
      <c r="F14" s="203">
        <v>1</v>
      </c>
      <c r="N14" s="203">
        <v>1</v>
      </c>
      <c r="O14" s="203">
        <v>1</v>
      </c>
      <c r="R14" s="203">
        <v>1</v>
      </c>
      <c r="U14" s="203">
        <v>1</v>
      </c>
    </row>
    <row r="15" spans="1:31" x14ac:dyDescent="0.3">
      <c r="A15" s="231" t="s">
        <v>174</v>
      </c>
      <c r="B15" s="292" t="s">
        <v>631</v>
      </c>
      <c r="C15" s="199">
        <f t="shared" si="0"/>
        <v>7</v>
      </c>
      <c r="D15" s="203">
        <v>1</v>
      </c>
      <c r="I15" s="203">
        <v>1</v>
      </c>
      <c r="K15" s="203">
        <v>1</v>
      </c>
      <c r="N15" s="203">
        <v>1</v>
      </c>
      <c r="O15" s="203">
        <v>1</v>
      </c>
      <c r="S15" s="203">
        <v>1</v>
      </c>
      <c r="W15" s="203">
        <v>1</v>
      </c>
    </row>
    <row r="16" spans="1:31" x14ac:dyDescent="0.3">
      <c r="A16" s="232">
        <v>89</v>
      </c>
      <c r="B16" s="293" t="s">
        <v>632</v>
      </c>
      <c r="C16" s="199">
        <f t="shared" si="0"/>
        <v>8</v>
      </c>
      <c r="D16" s="203">
        <v>1</v>
      </c>
      <c r="I16" s="203">
        <v>1</v>
      </c>
      <c r="K16" s="203">
        <v>1</v>
      </c>
      <c r="N16" s="203">
        <v>1</v>
      </c>
      <c r="O16" s="203">
        <v>1</v>
      </c>
      <c r="P16" s="203">
        <v>1</v>
      </c>
      <c r="S16" s="203">
        <v>1</v>
      </c>
      <c r="W16" s="203">
        <v>1</v>
      </c>
    </row>
    <row r="17" spans="1:31" x14ac:dyDescent="0.3">
      <c r="A17" s="229">
        <v>16</v>
      </c>
      <c r="B17" s="289" t="s">
        <v>633</v>
      </c>
      <c r="C17" s="199">
        <f t="shared" si="0"/>
        <v>14</v>
      </c>
      <c r="E17" s="203">
        <v>1</v>
      </c>
      <c r="F17" s="203">
        <v>1</v>
      </c>
      <c r="G17" s="203">
        <v>1</v>
      </c>
      <c r="H17" s="203">
        <v>1</v>
      </c>
      <c r="N17" s="203">
        <v>1</v>
      </c>
      <c r="O17" s="203">
        <v>1</v>
      </c>
      <c r="P17" s="203">
        <v>1</v>
      </c>
      <c r="Q17" s="203">
        <v>1</v>
      </c>
      <c r="R17" s="203">
        <v>1</v>
      </c>
      <c r="S17" s="203">
        <v>1</v>
      </c>
      <c r="T17" s="203">
        <v>1</v>
      </c>
      <c r="U17" s="203">
        <v>1</v>
      </c>
      <c r="AB17" s="203">
        <v>1</v>
      </c>
      <c r="AC17" s="203">
        <v>1</v>
      </c>
    </row>
    <row r="18" spans="1:31" x14ac:dyDescent="0.3">
      <c r="A18" s="234" t="s">
        <v>163</v>
      </c>
      <c r="B18" s="289" t="s">
        <v>634</v>
      </c>
      <c r="C18" s="199">
        <f t="shared" si="0"/>
        <v>2</v>
      </c>
      <c r="E18" s="203">
        <v>1</v>
      </c>
      <c r="J18" s="203">
        <v>1</v>
      </c>
    </row>
    <row r="19" spans="1:31" ht="84.75" customHeight="1" x14ac:dyDescent="0.3">
      <c r="A19" s="229">
        <v>20</v>
      </c>
      <c r="B19" s="289" t="s">
        <v>635</v>
      </c>
      <c r="C19" s="199">
        <f t="shared" si="0"/>
        <v>5</v>
      </c>
      <c r="F19" s="203">
        <v>1</v>
      </c>
      <c r="H19" s="203">
        <v>1</v>
      </c>
      <c r="K19" s="203">
        <v>1</v>
      </c>
      <c r="L19" s="203">
        <v>1</v>
      </c>
      <c r="S19" s="203">
        <v>1</v>
      </c>
    </row>
    <row r="20" spans="1:31" ht="71.400000000000006" customHeight="1" x14ac:dyDescent="0.3">
      <c r="A20" s="229">
        <v>21</v>
      </c>
      <c r="B20" s="289" t="s">
        <v>636</v>
      </c>
      <c r="C20" s="199">
        <f t="shared" si="0"/>
        <v>22</v>
      </c>
      <c r="D20" s="203">
        <v>1</v>
      </c>
      <c r="E20" s="203">
        <v>1</v>
      </c>
      <c r="F20" s="203">
        <v>1</v>
      </c>
      <c r="G20" s="203">
        <v>1</v>
      </c>
      <c r="H20" s="203">
        <v>1</v>
      </c>
      <c r="I20" s="203">
        <v>1</v>
      </c>
      <c r="J20" s="203">
        <v>1</v>
      </c>
      <c r="K20" s="203">
        <v>1</v>
      </c>
      <c r="M20" s="203">
        <v>1</v>
      </c>
      <c r="P20" s="203">
        <v>1</v>
      </c>
      <c r="Q20" s="203">
        <v>1</v>
      </c>
      <c r="R20" s="203">
        <v>1</v>
      </c>
      <c r="S20" s="203">
        <v>1</v>
      </c>
      <c r="T20" s="203">
        <v>1</v>
      </c>
      <c r="U20" s="203">
        <v>1</v>
      </c>
      <c r="W20" s="203">
        <v>1</v>
      </c>
      <c r="X20" s="203">
        <v>1</v>
      </c>
      <c r="Y20" s="203">
        <v>1</v>
      </c>
      <c r="Z20" s="203">
        <v>1</v>
      </c>
      <c r="AC20" s="203">
        <v>1</v>
      </c>
      <c r="AD20" s="203">
        <v>1</v>
      </c>
      <c r="AE20" s="203">
        <v>1</v>
      </c>
    </row>
    <row r="21" spans="1:31" x14ac:dyDescent="0.3">
      <c r="A21" s="229">
        <v>22</v>
      </c>
      <c r="B21" s="289" t="s">
        <v>637</v>
      </c>
      <c r="C21" s="199">
        <f t="shared" si="0"/>
        <v>1</v>
      </c>
      <c r="AE21" s="249">
        <v>1</v>
      </c>
    </row>
    <row r="22" spans="1:31" ht="43" customHeight="1" x14ac:dyDescent="0.3">
      <c r="A22" s="236">
        <v>24</v>
      </c>
      <c r="B22" s="290" t="s">
        <v>610</v>
      </c>
      <c r="C22" s="199">
        <f t="shared" si="0"/>
        <v>13</v>
      </c>
      <c r="E22" s="203">
        <v>1</v>
      </c>
      <c r="G22" s="203">
        <v>1</v>
      </c>
      <c r="I22" s="203">
        <v>1</v>
      </c>
      <c r="J22" s="203">
        <v>1</v>
      </c>
      <c r="K22" s="203">
        <v>1</v>
      </c>
      <c r="N22" s="203">
        <v>1</v>
      </c>
      <c r="O22" s="203">
        <v>1</v>
      </c>
      <c r="P22" s="203">
        <v>1</v>
      </c>
      <c r="S22" s="203">
        <v>1</v>
      </c>
      <c r="T22" s="203">
        <v>1</v>
      </c>
      <c r="Y22" s="203">
        <v>1</v>
      </c>
      <c r="AC22" s="203">
        <v>1</v>
      </c>
      <c r="AD22" s="203">
        <v>1</v>
      </c>
    </row>
    <row r="23" spans="1:31" x14ac:dyDescent="0.3">
      <c r="A23" s="239">
        <v>25</v>
      </c>
      <c r="B23" s="292" t="s">
        <v>638</v>
      </c>
      <c r="C23" s="199">
        <f t="shared" si="0"/>
        <v>9</v>
      </c>
      <c r="F23" s="203">
        <v>1</v>
      </c>
      <c r="H23" s="203">
        <v>1</v>
      </c>
      <c r="N23" s="203">
        <v>1</v>
      </c>
      <c r="O23" s="203">
        <v>1</v>
      </c>
      <c r="P23" s="203">
        <v>1</v>
      </c>
      <c r="Q23" s="203">
        <v>1</v>
      </c>
      <c r="S23" s="203">
        <v>1</v>
      </c>
      <c r="Y23" s="203">
        <v>1</v>
      </c>
      <c r="AC23" s="203">
        <v>1</v>
      </c>
    </row>
    <row r="24" spans="1:31" x14ac:dyDescent="0.3">
      <c r="A24" s="239">
        <v>26</v>
      </c>
      <c r="B24" s="293" t="s">
        <v>639</v>
      </c>
      <c r="C24" s="199">
        <f t="shared" si="0"/>
        <v>14</v>
      </c>
      <c r="F24" s="203">
        <v>1</v>
      </c>
      <c r="G24" s="203">
        <v>1</v>
      </c>
      <c r="H24" s="203">
        <v>1</v>
      </c>
      <c r="I24" s="203">
        <v>1</v>
      </c>
      <c r="K24" s="203">
        <v>1</v>
      </c>
      <c r="M24" s="203">
        <v>1</v>
      </c>
      <c r="N24" s="203">
        <v>1</v>
      </c>
      <c r="O24" s="203">
        <v>1</v>
      </c>
      <c r="P24" s="203">
        <v>1</v>
      </c>
      <c r="Q24" s="203">
        <v>1</v>
      </c>
      <c r="R24" s="203">
        <v>1</v>
      </c>
      <c r="S24" s="203">
        <v>1</v>
      </c>
      <c r="Y24" s="203">
        <v>1</v>
      </c>
      <c r="AC24" s="203">
        <v>1</v>
      </c>
    </row>
    <row r="25" spans="1:31" x14ac:dyDescent="0.3">
      <c r="A25" s="239">
        <v>36</v>
      </c>
      <c r="B25" s="293" t="s">
        <v>500</v>
      </c>
      <c r="C25" s="199">
        <f t="shared" si="0"/>
        <v>11</v>
      </c>
      <c r="F25" s="203">
        <v>1</v>
      </c>
      <c r="G25" s="203">
        <v>1</v>
      </c>
      <c r="H25" s="203">
        <v>1</v>
      </c>
      <c r="I25" s="203">
        <v>1</v>
      </c>
      <c r="N25" s="203">
        <v>1</v>
      </c>
      <c r="O25" s="203">
        <v>1</v>
      </c>
      <c r="P25" s="203">
        <v>1</v>
      </c>
      <c r="Q25" s="203">
        <v>1</v>
      </c>
      <c r="S25" s="203">
        <v>1</v>
      </c>
      <c r="Y25" s="203">
        <v>1</v>
      </c>
      <c r="AC25" s="203">
        <v>1</v>
      </c>
    </row>
    <row r="26" spans="1:31" x14ac:dyDescent="0.3">
      <c r="A26" s="240">
        <v>29</v>
      </c>
      <c r="B26" s="289" t="s">
        <v>501</v>
      </c>
      <c r="C26" s="199">
        <f t="shared" si="0"/>
        <v>8</v>
      </c>
      <c r="F26" s="203">
        <v>1</v>
      </c>
      <c r="G26" s="203">
        <v>1</v>
      </c>
      <c r="N26" s="203">
        <v>1</v>
      </c>
      <c r="O26" s="203">
        <v>1</v>
      </c>
      <c r="P26" s="203">
        <v>1</v>
      </c>
      <c r="R26" s="203">
        <v>1</v>
      </c>
      <c r="AC26" s="203">
        <v>1</v>
      </c>
      <c r="AE26" s="203">
        <v>1</v>
      </c>
    </row>
    <row r="27" spans="1:31" x14ac:dyDescent="0.3">
      <c r="A27" s="240">
        <v>33</v>
      </c>
      <c r="B27" s="290" t="s">
        <v>640</v>
      </c>
      <c r="C27" s="199">
        <f t="shared" si="0"/>
        <v>8</v>
      </c>
      <c r="D27" s="203">
        <v>1</v>
      </c>
      <c r="E27" s="203">
        <v>1</v>
      </c>
      <c r="K27" s="203">
        <v>1</v>
      </c>
      <c r="M27" s="203">
        <v>1</v>
      </c>
      <c r="T27" s="203">
        <v>1</v>
      </c>
      <c r="V27" s="203">
        <v>1</v>
      </c>
      <c r="W27" s="203">
        <v>1</v>
      </c>
      <c r="AA27" s="203">
        <v>1</v>
      </c>
    </row>
    <row r="28" spans="1:31" ht="22.4" customHeight="1" x14ac:dyDescent="0.3">
      <c r="A28" s="241">
        <v>35</v>
      </c>
      <c r="B28" s="289" t="s">
        <v>641</v>
      </c>
      <c r="C28" s="199">
        <f t="shared" si="0"/>
        <v>3</v>
      </c>
      <c r="D28" s="203">
        <v>1</v>
      </c>
      <c r="Y28" s="203">
        <v>1</v>
      </c>
      <c r="AE28" s="203">
        <v>1</v>
      </c>
    </row>
    <row r="29" spans="1:31" ht="86" customHeight="1" x14ac:dyDescent="0.3">
      <c r="A29" s="242" t="s">
        <v>467</v>
      </c>
      <c r="B29" s="290" t="s">
        <v>642</v>
      </c>
      <c r="C29" s="199">
        <f t="shared" si="0"/>
        <v>11</v>
      </c>
      <c r="E29" s="203">
        <v>1</v>
      </c>
      <c r="F29" s="203">
        <v>1</v>
      </c>
      <c r="H29" s="203">
        <v>1</v>
      </c>
      <c r="I29" s="203">
        <v>1</v>
      </c>
      <c r="J29" s="203">
        <v>1</v>
      </c>
      <c r="K29" s="203">
        <v>1</v>
      </c>
      <c r="M29" s="203">
        <v>1</v>
      </c>
      <c r="Q29" s="203">
        <v>1</v>
      </c>
      <c r="R29" s="203">
        <v>1</v>
      </c>
      <c r="S29" s="203">
        <v>1</v>
      </c>
      <c r="U29" s="203">
        <v>1</v>
      </c>
    </row>
    <row r="30" spans="1:31" ht="80.5" customHeight="1" x14ac:dyDescent="0.3">
      <c r="A30" s="241">
        <v>54</v>
      </c>
      <c r="B30" s="289" t="s">
        <v>502</v>
      </c>
      <c r="C30" s="199">
        <f t="shared" si="0"/>
        <v>6</v>
      </c>
      <c r="D30" s="203">
        <v>1</v>
      </c>
      <c r="E30" s="203">
        <v>1</v>
      </c>
      <c r="I30" s="203">
        <v>1</v>
      </c>
      <c r="K30" s="203">
        <v>1</v>
      </c>
      <c r="W30" s="203">
        <v>1</v>
      </c>
      <c r="Y30" s="203">
        <v>1</v>
      </c>
    </row>
    <row r="31" spans="1:31" x14ac:dyDescent="0.3">
      <c r="A31" s="241"/>
      <c r="B31" s="294" t="s">
        <v>643</v>
      </c>
      <c r="C31" s="199">
        <f t="shared" si="0"/>
        <v>8</v>
      </c>
      <c r="D31" s="203">
        <v>1</v>
      </c>
      <c r="H31" s="203">
        <v>1</v>
      </c>
      <c r="L31" s="203">
        <v>1</v>
      </c>
      <c r="Q31" s="203">
        <v>1</v>
      </c>
      <c r="S31" s="203">
        <v>1</v>
      </c>
      <c r="W31" s="203">
        <v>1</v>
      </c>
      <c r="AA31" s="203">
        <v>1</v>
      </c>
      <c r="AE31" s="203">
        <v>1</v>
      </c>
    </row>
    <row r="32" spans="1:31" ht="83" customHeight="1" x14ac:dyDescent="0.3">
      <c r="A32" s="241">
        <v>41</v>
      </c>
      <c r="B32" s="288" t="s">
        <v>503</v>
      </c>
      <c r="C32" s="199">
        <f t="shared" si="0"/>
        <v>18</v>
      </c>
      <c r="D32" s="203">
        <v>1</v>
      </c>
      <c r="E32" s="203">
        <v>1</v>
      </c>
      <c r="H32" s="203">
        <v>1</v>
      </c>
      <c r="I32" s="203">
        <v>1</v>
      </c>
      <c r="K32" s="203">
        <v>1</v>
      </c>
      <c r="L32" s="203">
        <v>1</v>
      </c>
      <c r="M32" s="203">
        <v>1</v>
      </c>
      <c r="P32" s="203">
        <v>1</v>
      </c>
      <c r="Q32" s="203">
        <v>1</v>
      </c>
      <c r="S32" s="203">
        <v>1</v>
      </c>
      <c r="T32" s="203">
        <v>1</v>
      </c>
      <c r="W32" s="203">
        <v>1</v>
      </c>
      <c r="X32" s="203">
        <v>1</v>
      </c>
      <c r="Y32" s="203">
        <v>1</v>
      </c>
      <c r="AA32" s="203">
        <v>1</v>
      </c>
      <c r="AC32" s="203">
        <v>1</v>
      </c>
      <c r="AD32" s="203">
        <v>1</v>
      </c>
      <c r="AE32" s="203">
        <v>1</v>
      </c>
    </row>
    <row r="33" spans="1:31" x14ac:dyDescent="0.3">
      <c r="A33" s="241">
        <v>42</v>
      </c>
      <c r="B33" s="288" t="s">
        <v>504</v>
      </c>
      <c r="C33" s="199">
        <f t="shared" si="0"/>
        <v>9</v>
      </c>
      <c r="D33" s="203">
        <v>1</v>
      </c>
      <c r="H33" s="203">
        <v>1</v>
      </c>
      <c r="L33" s="203">
        <v>1</v>
      </c>
      <c r="P33" s="203">
        <v>1</v>
      </c>
      <c r="Q33" s="203">
        <v>1</v>
      </c>
      <c r="S33" s="203">
        <v>1</v>
      </c>
      <c r="W33" s="203">
        <v>1</v>
      </c>
      <c r="AA33" s="203">
        <v>1</v>
      </c>
      <c r="AE33" s="203">
        <v>1</v>
      </c>
    </row>
    <row r="34" spans="1:31" x14ac:dyDescent="0.3">
      <c r="A34" s="241">
        <v>59</v>
      </c>
      <c r="B34" s="295" t="s">
        <v>644</v>
      </c>
      <c r="C34" s="199">
        <f t="shared" si="0"/>
        <v>2</v>
      </c>
      <c r="D34" s="203">
        <v>1</v>
      </c>
      <c r="W34" s="203">
        <v>1</v>
      </c>
    </row>
    <row r="35" spans="1:31" x14ac:dyDescent="0.3">
      <c r="A35" s="246">
        <v>62</v>
      </c>
      <c r="B35" s="289" t="s">
        <v>505</v>
      </c>
      <c r="C35" s="199">
        <f t="shared" si="0"/>
        <v>4</v>
      </c>
      <c r="F35" s="203">
        <v>1</v>
      </c>
      <c r="P35" s="203">
        <v>1</v>
      </c>
      <c r="Q35" s="203">
        <v>1</v>
      </c>
      <c r="R35" s="203">
        <v>1</v>
      </c>
    </row>
    <row r="36" spans="1:31" ht="61.25" customHeight="1" x14ac:dyDescent="0.3">
      <c r="A36" s="246">
        <v>63</v>
      </c>
      <c r="B36" s="290" t="s">
        <v>506</v>
      </c>
      <c r="C36" s="199">
        <f t="shared" si="0"/>
        <v>5</v>
      </c>
      <c r="L36" s="203">
        <v>1</v>
      </c>
      <c r="P36" s="203">
        <v>1</v>
      </c>
      <c r="S36" s="203">
        <v>1</v>
      </c>
      <c r="W36" s="203">
        <v>1</v>
      </c>
      <c r="Y36" s="203">
        <v>1</v>
      </c>
    </row>
    <row r="37" spans="1:31" x14ac:dyDescent="0.3">
      <c r="A37" s="248">
        <v>69</v>
      </c>
      <c r="B37" s="296" t="s">
        <v>645</v>
      </c>
      <c r="C37" s="199">
        <f t="shared" si="0"/>
        <v>3</v>
      </c>
      <c r="S37" s="203">
        <v>1</v>
      </c>
      <c r="Y37" s="203">
        <v>1</v>
      </c>
      <c r="AA37" s="203">
        <v>1</v>
      </c>
    </row>
    <row r="38" spans="1:31" x14ac:dyDescent="0.3">
      <c r="A38" s="248">
        <v>70</v>
      </c>
      <c r="B38" s="293" t="s">
        <v>507</v>
      </c>
      <c r="C38" s="199">
        <f t="shared" si="0"/>
        <v>6</v>
      </c>
      <c r="D38" s="203">
        <v>1</v>
      </c>
      <c r="H38" s="203">
        <v>1</v>
      </c>
      <c r="S38" s="203">
        <v>1</v>
      </c>
      <c r="W38" s="203">
        <v>1</v>
      </c>
      <c r="Y38" s="203">
        <v>1</v>
      </c>
      <c r="AA38" s="203">
        <v>1</v>
      </c>
    </row>
    <row r="39" spans="1:31" x14ac:dyDescent="0.3">
      <c r="A39" s="248"/>
      <c r="B39" s="293" t="s">
        <v>508</v>
      </c>
      <c r="C39" s="199">
        <f t="shared" si="0"/>
        <v>5</v>
      </c>
      <c r="D39" s="203">
        <v>1</v>
      </c>
      <c r="S39" s="203">
        <v>1</v>
      </c>
      <c r="W39" s="203">
        <v>1</v>
      </c>
      <c r="Y39" s="203">
        <v>1</v>
      </c>
      <c r="AA39" s="203">
        <v>1</v>
      </c>
    </row>
    <row r="40" spans="1:31" x14ac:dyDescent="0.3">
      <c r="A40" s="248"/>
      <c r="B40" s="293" t="s">
        <v>509</v>
      </c>
      <c r="C40" s="199">
        <f t="shared" si="0"/>
        <v>4</v>
      </c>
      <c r="Q40" s="203">
        <v>1</v>
      </c>
      <c r="S40" s="203">
        <v>1</v>
      </c>
      <c r="Y40" s="203">
        <v>1</v>
      </c>
      <c r="AA40" s="203">
        <v>1</v>
      </c>
    </row>
    <row r="41" spans="1:31" x14ac:dyDescent="0.3">
      <c r="A41" s="250">
        <v>19</v>
      </c>
      <c r="B41" s="295" t="s">
        <v>510</v>
      </c>
      <c r="C41" s="199">
        <f t="shared" si="0"/>
        <v>12</v>
      </c>
      <c r="D41" s="203">
        <v>1</v>
      </c>
      <c r="G41" s="203">
        <v>1</v>
      </c>
      <c r="I41" s="203">
        <v>1</v>
      </c>
      <c r="K41" s="203">
        <v>1</v>
      </c>
      <c r="L41" s="203">
        <v>1</v>
      </c>
      <c r="P41" s="203">
        <v>1</v>
      </c>
      <c r="Q41" s="203">
        <v>1</v>
      </c>
      <c r="R41" s="203">
        <v>1</v>
      </c>
      <c r="W41" s="203">
        <v>1</v>
      </c>
      <c r="AA41" s="203">
        <v>1</v>
      </c>
      <c r="AC41" s="203">
        <v>1</v>
      </c>
      <c r="AD41" s="203">
        <v>1</v>
      </c>
    </row>
    <row r="42" spans="1:31" x14ac:dyDescent="0.3">
      <c r="A42" s="252">
        <v>43</v>
      </c>
      <c r="B42" s="294" t="s">
        <v>646</v>
      </c>
      <c r="C42" s="199">
        <f t="shared" si="0"/>
        <v>4</v>
      </c>
      <c r="G42" s="203">
        <v>1</v>
      </c>
      <c r="K42" s="203">
        <v>1</v>
      </c>
      <c r="L42" s="203">
        <v>1</v>
      </c>
      <c r="W42" s="203">
        <v>1</v>
      </c>
    </row>
    <row r="43" spans="1:31" x14ac:dyDescent="0.3">
      <c r="A43" s="253">
        <v>44</v>
      </c>
      <c r="B43" s="288" t="s">
        <v>511</v>
      </c>
      <c r="C43" s="199">
        <f t="shared" si="0"/>
        <v>6</v>
      </c>
      <c r="G43" s="203">
        <v>1</v>
      </c>
      <c r="H43" s="203">
        <v>1</v>
      </c>
      <c r="K43" s="203">
        <v>1</v>
      </c>
      <c r="L43" s="203">
        <v>1</v>
      </c>
      <c r="P43" s="203">
        <v>1</v>
      </c>
      <c r="W43" s="203">
        <v>1</v>
      </c>
    </row>
    <row r="44" spans="1:31" x14ac:dyDescent="0.3">
      <c r="A44" s="254">
        <v>45</v>
      </c>
      <c r="B44" s="288" t="s">
        <v>512</v>
      </c>
      <c r="C44" s="199">
        <f t="shared" si="0"/>
        <v>11</v>
      </c>
      <c r="D44" s="203">
        <v>1</v>
      </c>
      <c r="F44" s="203">
        <v>1</v>
      </c>
      <c r="G44" s="203">
        <v>1</v>
      </c>
      <c r="I44" s="203">
        <v>1</v>
      </c>
      <c r="K44" s="203">
        <v>1</v>
      </c>
      <c r="L44" s="203">
        <v>1</v>
      </c>
      <c r="P44" s="203">
        <v>1</v>
      </c>
      <c r="R44" s="203">
        <v>1</v>
      </c>
      <c r="S44" s="203">
        <v>1</v>
      </c>
      <c r="W44" s="203">
        <v>1</v>
      </c>
      <c r="AD44" s="203">
        <v>1</v>
      </c>
    </row>
    <row r="45" spans="1:31" x14ac:dyDescent="0.3">
      <c r="A45" s="255">
        <v>46</v>
      </c>
      <c r="B45" s="297" t="s">
        <v>647</v>
      </c>
      <c r="C45" s="199">
        <f t="shared" si="0"/>
        <v>5</v>
      </c>
      <c r="D45" s="203">
        <v>1</v>
      </c>
      <c r="G45" s="203">
        <v>1</v>
      </c>
      <c r="L45" s="203">
        <v>1</v>
      </c>
      <c r="W45" s="203">
        <v>1</v>
      </c>
      <c r="AA45" s="203">
        <v>1</v>
      </c>
    </row>
    <row r="46" spans="1:31" x14ac:dyDescent="0.3">
      <c r="A46" s="250">
        <v>47</v>
      </c>
      <c r="B46" s="288" t="s">
        <v>513</v>
      </c>
      <c r="C46" s="199">
        <f t="shared" si="0"/>
        <v>12</v>
      </c>
      <c r="D46" s="203">
        <v>1</v>
      </c>
      <c r="F46" s="203">
        <v>1</v>
      </c>
      <c r="G46" s="203">
        <v>1</v>
      </c>
      <c r="H46" s="203">
        <v>1</v>
      </c>
      <c r="I46" s="203">
        <v>1</v>
      </c>
      <c r="K46" s="203">
        <v>1</v>
      </c>
      <c r="L46" s="203">
        <v>1</v>
      </c>
      <c r="P46" s="203">
        <v>1</v>
      </c>
      <c r="R46" s="203">
        <v>1</v>
      </c>
      <c r="U46" s="203">
        <v>1</v>
      </c>
      <c r="W46" s="203">
        <v>1</v>
      </c>
      <c r="AA46" s="203">
        <v>1</v>
      </c>
    </row>
    <row r="47" spans="1:31" x14ac:dyDescent="0.3">
      <c r="A47" s="258">
        <v>48</v>
      </c>
      <c r="B47" s="288" t="s">
        <v>514</v>
      </c>
      <c r="C47" s="199">
        <f t="shared" si="0"/>
        <v>6</v>
      </c>
      <c r="D47" s="203">
        <v>1</v>
      </c>
      <c r="G47" s="203">
        <v>1</v>
      </c>
      <c r="L47" s="203">
        <v>1</v>
      </c>
      <c r="P47" s="203">
        <v>1</v>
      </c>
      <c r="W47" s="203">
        <v>1</v>
      </c>
      <c r="AA47" s="203">
        <v>1</v>
      </c>
    </row>
    <row r="48" spans="1:31" x14ac:dyDescent="0.3">
      <c r="A48" s="259">
        <v>49</v>
      </c>
      <c r="B48" s="288" t="s">
        <v>515</v>
      </c>
      <c r="C48" s="199">
        <f t="shared" si="0"/>
        <v>6</v>
      </c>
      <c r="D48" s="203">
        <v>1</v>
      </c>
      <c r="G48" s="203">
        <v>1</v>
      </c>
      <c r="L48" s="203">
        <v>1</v>
      </c>
      <c r="W48" s="203">
        <v>1</v>
      </c>
      <c r="Y48" s="203">
        <v>1</v>
      </c>
      <c r="AA48" s="203">
        <v>1</v>
      </c>
    </row>
    <row r="49" spans="1:121" x14ac:dyDescent="0.3">
      <c r="A49" s="260">
        <v>50</v>
      </c>
      <c r="B49" s="288" t="s">
        <v>516</v>
      </c>
      <c r="C49" s="199">
        <f t="shared" si="0"/>
        <v>6</v>
      </c>
      <c r="D49" s="203">
        <v>1</v>
      </c>
      <c r="G49" s="203">
        <v>1</v>
      </c>
      <c r="L49" s="203">
        <v>1</v>
      </c>
      <c r="W49" s="203">
        <v>1</v>
      </c>
      <c r="Y49" s="203">
        <v>1</v>
      </c>
      <c r="AA49" s="203">
        <v>1</v>
      </c>
    </row>
    <row r="50" spans="1:121" x14ac:dyDescent="0.3">
      <c r="A50" s="261">
        <v>51</v>
      </c>
      <c r="B50" s="288" t="s">
        <v>517</v>
      </c>
      <c r="C50" s="199">
        <f t="shared" si="0"/>
        <v>6</v>
      </c>
      <c r="D50" s="203">
        <v>1</v>
      </c>
      <c r="G50" s="203">
        <v>1</v>
      </c>
      <c r="L50" s="203">
        <v>1</v>
      </c>
      <c r="W50" s="203">
        <v>1</v>
      </c>
      <c r="Y50" s="203">
        <v>1</v>
      </c>
      <c r="AA50" s="203">
        <v>1</v>
      </c>
    </row>
    <row r="51" spans="1:121" x14ac:dyDescent="0.3">
      <c r="A51" s="250">
        <v>53</v>
      </c>
      <c r="B51" s="262" t="s">
        <v>518</v>
      </c>
      <c r="C51" s="199">
        <f t="shared" si="0"/>
        <v>4</v>
      </c>
      <c r="D51" s="203">
        <v>1</v>
      </c>
      <c r="I51" s="203">
        <v>1</v>
      </c>
      <c r="W51" s="203">
        <v>1</v>
      </c>
      <c r="Y51" s="203">
        <v>1</v>
      </c>
    </row>
    <row r="52" spans="1:121" s="227" customFormat="1" x14ac:dyDescent="0.3">
      <c r="A52" s="263">
        <v>68</v>
      </c>
      <c r="B52" s="298" t="s">
        <v>625</v>
      </c>
      <c r="C52" s="199">
        <f t="shared" si="0"/>
        <v>2</v>
      </c>
      <c r="D52" s="203"/>
      <c r="E52" s="203"/>
      <c r="F52" s="203"/>
      <c r="G52" s="203">
        <v>1</v>
      </c>
      <c r="H52" s="203">
        <v>1</v>
      </c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198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8"/>
      <c r="CE52" s="198"/>
      <c r="CF52" s="198"/>
      <c r="CG52" s="198"/>
      <c r="CH52" s="198"/>
      <c r="CI52" s="198"/>
      <c r="CJ52" s="198"/>
      <c r="CK52" s="198"/>
      <c r="CL52" s="198"/>
      <c r="CM52" s="198"/>
      <c r="CN52" s="198"/>
      <c r="CO52" s="198"/>
      <c r="CP52" s="198"/>
      <c r="CQ52" s="198"/>
      <c r="CR52" s="198"/>
      <c r="CS52" s="198"/>
      <c r="CT52" s="198"/>
      <c r="CU52" s="198"/>
      <c r="CV52" s="198"/>
      <c r="CW52" s="198"/>
      <c r="CX52" s="198"/>
      <c r="CY52" s="198"/>
      <c r="CZ52" s="198"/>
      <c r="DA52" s="198"/>
      <c r="DB52" s="198"/>
      <c r="DC52" s="198"/>
      <c r="DD52" s="198"/>
      <c r="DE52" s="198"/>
      <c r="DF52" s="198"/>
      <c r="DG52" s="198"/>
      <c r="DH52" s="198"/>
      <c r="DI52" s="198"/>
      <c r="DJ52" s="198"/>
      <c r="DK52" s="198"/>
      <c r="DL52" s="198"/>
      <c r="DM52" s="198"/>
      <c r="DN52" s="198"/>
      <c r="DO52" s="198"/>
      <c r="DP52" s="198"/>
      <c r="DQ52" s="198"/>
    </row>
    <row r="53" spans="1:121" s="227" customFormat="1" x14ac:dyDescent="0.3">
      <c r="A53" s="263">
        <v>65</v>
      </c>
      <c r="B53" s="299" t="s">
        <v>648</v>
      </c>
      <c r="C53" s="199">
        <f t="shared" si="0"/>
        <v>4</v>
      </c>
      <c r="D53" s="203"/>
      <c r="E53" s="203"/>
      <c r="F53" s="203"/>
      <c r="G53" s="203">
        <v>1</v>
      </c>
      <c r="H53" s="203">
        <v>1</v>
      </c>
      <c r="I53" s="203"/>
      <c r="J53" s="203"/>
      <c r="K53" s="203"/>
      <c r="L53" s="203"/>
      <c r="M53" s="203"/>
      <c r="N53" s="203"/>
      <c r="O53" s="203"/>
      <c r="P53" s="203">
        <v>1</v>
      </c>
      <c r="Q53" s="203"/>
      <c r="R53" s="203"/>
      <c r="S53" s="203">
        <v>1</v>
      </c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8"/>
      <c r="BZ53" s="198"/>
      <c r="CA53" s="198"/>
      <c r="CB53" s="198"/>
      <c r="CC53" s="198"/>
      <c r="CD53" s="198"/>
      <c r="CE53" s="198"/>
      <c r="CF53" s="198"/>
      <c r="CG53" s="198"/>
      <c r="CH53" s="198"/>
      <c r="CI53" s="198"/>
      <c r="CJ53" s="198"/>
      <c r="CK53" s="198"/>
      <c r="CL53" s="198"/>
      <c r="CM53" s="198"/>
      <c r="CN53" s="198"/>
      <c r="CO53" s="198"/>
      <c r="CP53" s="198"/>
      <c r="CQ53" s="198"/>
      <c r="CR53" s="198"/>
      <c r="CS53" s="198"/>
      <c r="CT53" s="198"/>
      <c r="CU53" s="198"/>
      <c r="CV53" s="198"/>
      <c r="CW53" s="198"/>
      <c r="CX53" s="198"/>
      <c r="CY53" s="198"/>
      <c r="CZ53" s="198"/>
      <c r="DA53" s="198"/>
      <c r="DB53" s="198"/>
      <c r="DC53" s="198"/>
      <c r="DD53" s="198"/>
      <c r="DE53" s="198"/>
      <c r="DF53" s="198"/>
      <c r="DG53" s="198"/>
      <c r="DH53" s="198"/>
      <c r="DI53" s="198"/>
      <c r="DJ53" s="198"/>
      <c r="DK53" s="198"/>
      <c r="DL53" s="198"/>
      <c r="DM53" s="198"/>
      <c r="DN53" s="198"/>
      <c r="DO53" s="198"/>
      <c r="DP53" s="198"/>
      <c r="DQ53" s="198"/>
    </row>
    <row r="54" spans="1:121" s="227" customFormat="1" x14ac:dyDescent="0.3">
      <c r="A54" s="263">
        <v>64</v>
      </c>
      <c r="B54" s="300" t="s">
        <v>519</v>
      </c>
      <c r="C54" s="199">
        <f t="shared" si="0"/>
        <v>2</v>
      </c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>
        <v>1</v>
      </c>
      <c r="R54" s="203"/>
      <c r="S54" s="203">
        <v>1</v>
      </c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  <c r="BR54" s="198"/>
      <c r="BS54" s="198"/>
      <c r="BT54" s="198"/>
      <c r="BU54" s="198"/>
      <c r="BV54" s="198"/>
      <c r="BW54" s="198"/>
      <c r="BX54" s="198"/>
      <c r="BY54" s="198"/>
      <c r="BZ54" s="198"/>
      <c r="CA54" s="198"/>
      <c r="CB54" s="198"/>
      <c r="CC54" s="198"/>
      <c r="CD54" s="198"/>
      <c r="CE54" s="198"/>
      <c r="CF54" s="198"/>
      <c r="CG54" s="198"/>
      <c r="CH54" s="198"/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T54" s="198"/>
      <c r="CU54" s="198"/>
      <c r="CV54" s="198"/>
      <c r="CW54" s="198"/>
      <c r="CX54" s="198"/>
      <c r="CY54" s="198"/>
      <c r="CZ54" s="198"/>
      <c r="DA54" s="198"/>
      <c r="DB54" s="198"/>
      <c r="DC54" s="198"/>
      <c r="DD54" s="198"/>
      <c r="DE54" s="198"/>
      <c r="DF54" s="198"/>
      <c r="DG54" s="198"/>
      <c r="DH54" s="198"/>
      <c r="DI54" s="198"/>
      <c r="DJ54" s="198"/>
      <c r="DK54" s="198"/>
      <c r="DL54" s="198"/>
      <c r="DM54" s="198"/>
      <c r="DN54" s="198"/>
      <c r="DO54" s="198"/>
      <c r="DP54" s="198"/>
      <c r="DQ54" s="198"/>
    </row>
    <row r="55" spans="1:121" s="227" customFormat="1" x14ac:dyDescent="0.3">
      <c r="A55" s="263">
        <v>67</v>
      </c>
      <c r="B55" s="300" t="s">
        <v>520</v>
      </c>
      <c r="C55" s="199">
        <f t="shared" si="0"/>
        <v>1</v>
      </c>
      <c r="D55" s="203"/>
      <c r="E55" s="203"/>
      <c r="F55" s="203"/>
      <c r="G55" s="249">
        <v>1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  <c r="BR55" s="198"/>
      <c r="BS55" s="198"/>
      <c r="BT55" s="198"/>
      <c r="BU55" s="198"/>
      <c r="BV55" s="198"/>
      <c r="BW55" s="198"/>
      <c r="BX55" s="198"/>
      <c r="BY55" s="198"/>
      <c r="BZ55" s="198"/>
      <c r="CA55" s="198"/>
      <c r="CB55" s="198"/>
      <c r="CC55" s="198"/>
      <c r="CD55" s="198"/>
      <c r="CE55" s="198"/>
      <c r="CF55" s="198"/>
      <c r="CG55" s="198"/>
      <c r="CH55" s="198"/>
      <c r="CI55" s="198"/>
      <c r="CJ55" s="198"/>
      <c r="CK55" s="198"/>
      <c r="CL55" s="198"/>
      <c r="CM55" s="198"/>
      <c r="CN55" s="198"/>
      <c r="CO55" s="198"/>
      <c r="CP55" s="198"/>
      <c r="CQ55" s="198"/>
      <c r="CR55" s="198"/>
      <c r="CS55" s="198"/>
      <c r="CT55" s="198"/>
      <c r="CU55" s="198"/>
      <c r="CV55" s="198"/>
      <c r="CW55" s="198"/>
      <c r="CX55" s="198"/>
      <c r="CY55" s="198"/>
      <c r="CZ55" s="198"/>
      <c r="DA55" s="198"/>
      <c r="DB55" s="198"/>
      <c r="DC55" s="198"/>
      <c r="DD55" s="198"/>
      <c r="DE55" s="198"/>
      <c r="DF55" s="198"/>
      <c r="DG55" s="198"/>
      <c r="DH55" s="198"/>
      <c r="DI55" s="198"/>
      <c r="DJ55" s="198"/>
      <c r="DK55" s="198"/>
      <c r="DL55" s="198"/>
      <c r="DM55" s="198"/>
      <c r="DN55" s="198"/>
      <c r="DO55" s="198"/>
      <c r="DP55" s="198"/>
      <c r="DQ55" s="198"/>
    </row>
    <row r="56" spans="1:121" x14ac:dyDescent="0.3">
      <c r="A56" s="265">
        <v>23</v>
      </c>
      <c r="B56" s="300" t="s">
        <v>616</v>
      </c>
      <c r="C56" s="199">
        <f t="shared" si="0"/>
        <v>3</v>
      </c>
      <c r="F56" s="203">
        <v>1</v>
      </c>
      <c r="O56" s="203">
        <v>1</v>
      </c>
      <c r="R56" s="203">
        <v>1</v>
      </c>
    </row>
    <row r="57" spans="1:121" x14ac:dyDescent="0.3">
      <c r="A57" s="266">
        <v>72</v>
      </c>
      <c r="B57" s="300" t="s">
        <v>521</v>
      </c>
      <c r="C57" s="199">
        <f t="shared" si="0"/>
        <v>1</v>
      </c>
      <c r="Y57" s="249">
        <v>1</v>
      </c>
    </row>
    <row r="58" spans="1:121" x14ac:dyDescent="0.3">
      <c r="A58" s="266">
        <v>91</v>
      </c>
      <c r="B58" s="300" t="s">
        <v>522</v>
      </c>
      <c r="C58" s="199">
        <f t="shared" si="0"/>
        <v>2</v>
      </c>
      <c r="N58" s="203">
        <v>1</v>
      </c>
      <c r="O58" s="203">
        <v>1</v>
      </c>
    </row>
    <row r="59" spans="1:121" x14ac:dyDescent="0.3">
      <c r="A59" s="266">
        <v>74</v>
      </c>
      <c r="B59" s="300" t="s">
        <v>523</v>
      </c>
      <c r="C59" s="199">
        <f t="shared" si="0"/>
        <v>1</v>
      </c>
      <c r="Y59" s="249">
        <v>1</v>
      </c>
    </row>
    <row r="60" spans="1:121" x14ac:dyDescent="0.3">
      <c r="A60" s="266">
        <v>75</v>
      </c>
      <c r="B60" s="300" t="s">
        <v>524</v>
      </c>
      <c r="C60" s="199">
        <f t="shared" si="0"/>
        <v>1</v>
      </c>
      <c r="Y60" s="249">
        <v>1</v>
      </c>
    </row>
    <row r="61" spans="1:121" x14ac:dyDescent="0.3">
      <c r="A61" s="266">
        <v>76</v>
      </c>
      <c r="B61" s="300" t="s">
        <v>525</v>
      </c>
      <c r="C61" s="199">
        <f t="shared" si="0"/>
        <v>2</v>
      </c>
      <c r="S61" s="203">
        <v>1</v>
      </c>
      <c r="Y61" s="203">
        <v>1</v>
      </c>
    </row>
    <row r="62" spans="1:121" x14ac:dyDescent="0.3">
      <c r="A62" s="266">
        <v>94</v>
      </c>
      <c r="B62" s="300" t="s">
        <v>617</v>
      </c>
      <c r="C62" s="199">
        <f t="shared" si="0"/>
        <v>1</v>
      </c>
      <c r="N62" s="249">
        <v>1</v>
      </c>
    </row>
    <row r="63" spans="1:121" x14ac:dyDescent="0.3">
      <c r="A63" s="266">
        <v>92</v>
      </c>
      <c r="B63" s="300" t="s">
        <v>526</v>
      </c>
      <c r="C63" s="199">
        <f t="shared" si="0"/>
        <v>3</v>
      </c>
      <c r="E63" s="203">
        <v>1</v>
      </c>
      <c r="N63" s="203">
        <v>1</v>
      </c>
      <c r="O63" s="203">
        <v>1</v>
      </c>
    </row>
    <row r="64" spans="1:121" x14ac:dyDescent="0.3">
      <c r="A64" s="266">
        <v>34</v>
      </c>
      <c r="B64" s="301" t="s">
        <v>649</v>
      </c>
      <c r="C64" s="199">
        <f t="shared" si="0"/>
        <v>2</v>
      </c>
      <c r="I64" s="203">
        <v>1</v>
      </c>
      <c r="K64" s="203">
        <v>1</v>
      </c>
    </row>
    <row r="65" spans="1:31" x14ac:dyDescent="0.3">
      <c r="A65" s="267">
        <v>58</v>
      </c>
      <c r="B65" s="300" t="s">
        <v>650</v>
      </c>
      <c r="C65" s="199">
        <f t="shared" si="0"/>
        <v>1</v>
      </c>
      <c r="G65" s="249">
        <v>1</v>
      </c>
    </row>
    <row r="66" spans="1:31" x14ac:dyDescent="0.3">
      <c r="A66" s="268">
        <v>77</v>
      </c>
      <c r="B66" s="300" t="s">
        <v>651</v>
      </c>
      <c r="C66" s="199">
        <f t="shared" si="0"/>
        <v>1</v>
      </c>
      <c r="G66" s="249">
        <v>1</v>
      </c>
    </row>
    <row r="67" spans="1:31" x14ac:dyDescent="0.3">
      <c r="A67" s="268">
        <v>78</v>
      </c>
      <c r="B67" s="300" t="s">
        <v>652</v>
      </c>
      <c r="C67" s="199">
        <f t="shared" si="0"/>
        <v>1</v>
      </c>
      <c r="G67" s="249">
        <v>1</v>
      </c>
    </row>
    <row r="68" spans="1:31" x14ac:dyDescent="0.3">
      <c r="A68" s="269">
        <v>79</v>
      </c>
      <c r="B68" s="300" t="s">
        <v>653</v>
      </c>
      <c r="C68" s="199">
        <f t="shared" ref="C68:C87" si="1">COUNTIF(D68:AE68,"&gt;0")</f>
        <v>3</v>
      </c>
      <c r="G68" s="203">
        <v>1</v>
      </c>
      <c r="O68" s="203">
        <v>1</v>
      </c>
      <c r="S68" s="203">
        <v>1</v>
      </c>
    </row>
    <row r="69" spans="1:31" x14ac:dyDescent="0.3">
      <c r="A69" s="269">
        <v>81</v>
      </c>
      <c r="B69" s="300" t="s">
        <v>527</v>
      </c>
      <c r="C69" s="199">
        <f t="shared" si="1"/>
        <v>2</v>
      </c>
      <c r="Q69" s="203">
        <v>1</v>
      </c>
      <c r="S69" s="203">
        <v>1</v>
      </c>
    </row>
    <row r="70" spans="1:31" x14ac:dyDescent="0.3">
      <c r="A70" s="269"/>
      <c r="B70" s="302" t="s">
        <v>619</v>
      </c>
      <c r="C70" s="199">
        <f t="shared" si="1"/>
        <v>4</v>
      </c>
      <c r="G70" s="203">
        <v>1</v>
      </c>
      <c r="Q70" s="203">
        <v>1</v>
      </c>
      <c r="S70" s="203">
        <v>1</v>
      </c>
      <c r="AE70" s="203">
        <v>1</v>
      </c>
    </row>
    <row r="71" spans="1:31" x14ac:dyDescent="0.3">
      <c r="A71" s="232">
        <v>88</v>
      </c>
      <c r="B71" s="300" t="s">
        <v>620</v>
      </c>
      <c r="C71" s="199">
        <f t="shared" si="1"/>
        <v>2</v>
      </c>
      <c r="H71" s="203">
        <v>1</v>
      </c>
      <c r="S71" s="203">
        <v>1</v>
      </c>
    </row>
    <row r="72" spans="1:31" x14ac:dyDescent="0.3">
      <c r="A72" s="232">
        <v>61</v>
      </c>
      <c r="B72" s="300" t="s">
        <v>528</v>
      </c>
      <c r="C72" s="199">
        <f t="shared" si="1"/>
        <v>1</v>
      </c>
      <c r="H72" s="249">
        <v>1</v>
      </c>
    </row>
    <row r="73" spans="1:31" x14ac:dyDescent="0.3">
      <c r="A73" s="232">
        <v>31</v>
      </c>
      <c r="B73" s="300" t="s">
        <v>654</v>
      </c>
      <c r="C73" s="199">
        <f t="shared" si="1"/>
        <v>1</v>
      </c>
      <c r="P73" s="249">
        <v>1</v>
      </c>
    </row>
    <row r="74" spans="1:31" x14ac:dyDescent="0.3">
      <c r="A74" s="200">
        <v>39</v>
      </c>
      <c r="B74" s="303" t="s">
        <v>529</v>
      </c>
      <c r="C74" s="199">
        <f t="shared" si="1"/>
        <v>7</v>
      </c>
      <c r="D74" s="203">
        <v>1</v>
      </c>
      <c r="G74" s="203">
        <v>1</v>
      </c>
      <c r="I74" s="203">
        <v>1</v>
      </c>
      <c r="K74" s="203">
        <v>1</v>
      </c>
      <c r="P74" s="203">
        <v>1</v>
      </c>
      <c r="W74" s="203">
        <v>1</v>
      </c>
      <c r="AD74" s="203">
        <v>1</v>
      </c>
    </row>
    <row r="75" spans="1:31" x14ac:dyDescent="0.3">
      <c r="A75" s="200">
        <v>40</v>
      </c>
      <c r="B75" s="303" t="s">
        <v>530</v>
      </c>
      <c r="C75" s="199">
        <f t="shared" si="1"/>
        <v>11</v>
      </c>
      <c r="F75" s="203">
        <v>1</v>
      </c>
      <c r="K75" s="203">
        <v>1</v>
      </c>
      <c r="L75" s="203">
        <v>1</v>
      </c>
      <c r="P75" s="203">
        <v>1</v>
      </c>
      <c r="Q75" s="203">
        <v>1</v>
      </c>
      <c r="R75" s="203">
        <v>1</v>
      </c>
      <c r="S75" s="203">
        <v>1</v>
      </c>
      <c r="U75" s="203">
        <v>1</v>
      </c>
      <c r="AA75" s="203">
        <v>1</v>
      </c>
      <c r="AC75" s="203">
        <v>1</v>
      </c>
      <c r="AD75" s="203">
        <v>1</v>
      </c>
    </row>
    <row r="76" spans="1:31" x14ac:dyDescent="0.3">
      <c r="A76" s="200">
        <v>93</v>
      </c>
      <c r="B76" s="304" t="s">
        <v>531</v>
      </c>
      <c r="C76" s="199">
        <f t="shared" si="1"/>
        <v>2</v>
      </c>
      <c r="N76" s="203">
        <v>1</v>
      </c>
      <c r="O76" s="203">
        <v>1</v>
      </c>
    </row>
    <row r="77" spans="1:31" x14ac:dyDescent="0.3">
      <c r="A77" s="200">
        <v>57</v>
      </c>
      <c r="B77" s="300" t="s">
        <v>532</v>
      </c>
      <c r="C77" s="199">
        <f t="shared" si="1"/>
        <v>15</v>
      </c>
      <c r="D77" s="203">
        <v>1</v>
      </c>
      <c r="E77" s="203">
        <v>1</v>
      </c>
      <c r="F77" s="203">
        <v>1</v>
      </c>
      <c r="G77" s="203">
        <v>1</v>
      </c>
      <c r="H77" s="203">
        <v>1</v>
      </c>
      <c r="I77" s="203">
        <v>1</v>
      </c>
      <c r="J77" s="203">
        <v>1</v>
      </c>
      <c r="K77" s="203">
        <v>1</v>
      </c>
      <c r="N77" s="203">
        <v>1</v>
      </c>
      <c r="P77" s="203">
        <v>1</v>
      </c>
      <c r="R77" s="203">
        <v>1</v>
      </c>
      <c r="S77" s="203">
        <v>1</v>
      </c>
      <c r="W77" s="203">
        <v>1</v>
      </c>
      <c r="AB77" s="203">
        <v>1</v>
      </c>
      <c r="AC77" s="203">
        <v>1</v>
      </c>
    </row>
    <row r="78" spans="1:31" x14ac:dyDescent="0.3">
      <c r="A78" s="200">
        <v>71</v>
      </c>
      <c r="B78" s="271" t="s">
        <v>533</v>
      </c>
      <c r="C78" s="199">
        <f t="shared" si="1"/>
        <v>14</v>
      </c>
      <c r="E78" s="203">
        <v>1</v>
      </c>
      <c r="G78" s="203">
        <v>1</v>
      </c>
      <c r="I78" s="203">
        <v>1</v>
      </c>
      <c r="J78" s="203">
        <v>1</v>
      </c>
      <c r="K78" s="203">
        <v>1</v>
      </c>
      <c r="L78" s="203">
        <v>1</v>
      </c>
      <c r="N78" s="203">
        <v>1</v>
      </c>
      <c r="P78" s="203">
        <v>1</v>
      </c>
      <c r="S78" s="203">
        <v>1</v>
      </c>
      <c r="T78" s="203">
        <v>1</v>
      </c>
      <c r="W78" s="203">
        <v>1</v>
      </c>
      <c r="Y78" s="203">
        <v>1</v>
      </c>
      <c r="AA78" s="203">
        <v>1</v>
      </c>
      <c r="AD78" s="203">
        <v>1</v>
      </c>
    </row>
    <row r="79" spans="1:31" s="199" customFormat="1" x14ac:dyDescent="0.3">
      <c r="B79" s="271" t="s">
        <v>675</v>
      </c>
      <c r="C79" s="199">
        <f t="shared" si="1"/>
        <v>2</v>
      </c>
      <c r="D79" s="203"/>
      <c r="E79" s="203"/>
      <c r="F79" s="203"/>
      <c r="G79" s="203"/>
      <c r="H79" s="203"/>
      <c r="I79" s="203"/>
      <c r="J79" s="203"/>
      <c r="K79" s="203"/>
      <c r="L79" s="203">
        <v>1</v>
      </c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>
        <v>1</v>
      </c>
      <c r="AB79" s="203"/>
      <c r="AC79" s="203"/>
      <c r="AD79" s="203"/>
      <c r="AE79" s="203"/>
    </row>
    <row r="80" spans="1:31" x14ac:dyDescent="0.3">
      <c r="B80" s="300" t="s">
        <v>621</v>
      </c>
      <c r="C80" s="199">
        <f t="shared" si="1"/>
        <v>2</v>
      </c>
      <c r="N80" s="203">
        <v>1</v>
      </c>
      <c r="O80" s="203">
        <v>1</v>
      </c>
    </row>
    <row r="81" spans="2:32" x14ac:dyDescent="0.3">
      <c r="B81" s="300" t="s">
        <v>534</v>
      </c>
      <c r="C81" s="199">
        <f t="shared" si="1"/>
        <v>1</v>
      </c>
      <c r="O81" s="249">
        <v>1</v>
      </c>
    </row>
    <row r="82" spans="2:32" x14ac:dyDescent="0.3">
      <c r="B82" s="300" t="s">
        <v>678</v>
      </c>
      <c r="C82" s="199">
        <f t="shared" si="1"/>
        <v>1</v>
      </c>
      <c r="O82" s="249">
        <v>1</v>
      </c>
    </row>
    <row r="83" spans="2:32" x14ac:dyDescent="0.3">
      <c r="B83" s="300" t="s">
        <v>622</v>
      </c>
      <c r="C83" s="199">
        <f t="shared" si="1"/>
        <v>1</v>
      </c>
      <c r="S83" s="249">
        <v>1</v>
      </c>
    </row>
    <row r="84" spans="2:32" x14ac:dyDescent="0.3">
      <c r="B84" s="300" t="s">
        <v>535</v>
      </c>
      <c r="C84" s="199">
        <f t="shared" si="1"/>
        <v>1</v>
      </c>
      <c r="S84" s="249">
        <v>1</v>
      </c>
    </row>
    <row r="85" spans="2:32" x14ac:dyDescent="0.3">
      <c r="B85" s="289" t="s">
        <v>536</v>
      </c>
      <c r="C85" s="199">
        <f t="shared" si="1"/>
        <v>1</v>
      </c>
      <c r="Y85" s="249">
        <v>1</v>
      </c>
    </row>
    <row r="86" spans="2:32" x14ac:dyDescent="0.3">
      <c r="B86" s="289" t="s">
        <v>623</v>
      </c>
      <c r="C86" s="199">
        <f t="shared" si="1"/>
        <v>1</v>
      </c>
      <c r="AD86" s="249">
        <v>1</v>
      </c>
    </row>
    <row r="87" spans="2:32" x14ac:dyDescent="0.3">
      <c r="B87" s="289" t="s">
        <v>624</v>
      </c>
      <c r="C87" s="199">
        <f t="shared" si="1"/>
        <v>1</v>
      </c>
      <c r="AE87" s="249">
        <v>1</v>
      </c>
    </row>
    <row r="88" spans="2:32" x14ac:dyDescent="0.3">
      <c r="C88" s="199">
        <f>COUNTIF(C3:C87,"=1")</f>
        <v>18</v>
      </c>
    </row>
    <row r="89" spans="2:32" x14ac:dyDescent="0.3">
      <c r="B89" s="286" t="s">
        <v>552</v>
      </c>
      <c r="G89" s="203">
        <v>4</v>
      </c>
      <c r="H89" s="203">
        <v>1</v>
      </c>
      <c r="N89" s="203">
        <v>1</v>
      </c>
      <c r="O89" s="203">
        <v>2</v>
      </c>
      <c r="P89" s="203">
        <v>1</v>
      </c>
      <c r="S89" s="203">
        <v>2</v>
      </c>
      <c r="Y89" s="203">
        <v>4</v>
      </c>
      <c r="AD89" s="203">
        <v>1</v>
      </c>
      <c r="AE89" s="203">
        <v>2</v>
      </c>
      <c r="AF89" s="206">
        <f>SUM(D89:AE89)</f>
        <v>18</v>
      </c>
    </row>
    <row r="90" spans="2:32" x14ac:dyDescent="0.3">
      <c r="B90" s="286" t="s">
        <v>558</v>
      </c>
      <c r="D90" s="203">
        <f>SUM(D3:D87)</f>
        <v>26</v>
      </c>
      <c r="E90" s="203">
        <f t="shared" ref="E90:AB90" si="2">SUM(E3:E87)</f>
        <v>12</v>
      </c>
      <c r="F90" s="203">
        <f t="shared" si="2"/>
        <v>19</v>
      </c>
      <c r="G90" s="203">
        <f t="shared" si="2"/>
        <v>32</v>
      </c>
      <c r="H90" s="203">
        <f t="shared" si="2"/>
        <v>21</v>
      </c>
      <c r="I90" s="203">
        <f t="shared" si="2"/>
        <v>20</v>
      </c>
      <c r="J90" s="203">
        <f t="shared" si="2"/>
        <v>6</v>
      </c>
      <c r="K90" s="203">
        <f t="shared" si="2"/>
        <v>23</v>
      </c>
      <c r="L90" s="203">
        <f t="shared" si="2"/>
        <v>20</v>
      </c>
      <c r="M90" s="203">
        <f t="shared" si="2"/>
        <v>7</v>
      </c>
      <c r="N90" s="203">
        <f t="shared" si="2"/>
        <v>23</v>
      </c>
      <c r="O90" s="203">
        <f t="shared" si="2"/>
        <v>24</v>
      </c>
      <c r="P90" s="203">
        <f t="shared" si="2"/>
        <v>26</v>
      </c>
      <c r="Q90" s="203">
        <f t="shared" si="2"/>
        <v>18</v>
      </c>
      <c r="R90" s="203">
        <f t="shared" si="2"/>
        <v>16</v>
      </c>
      <c r="S90" s="203">
        <f t="shared" si="2"/>
        <v>35</v>
      </c>
      <c r="T90" s="203">
        <f t="shared" si="2"/>
        <v>7</v>
      </c>
      <c r="U90" s="203">
        <f t="shared" si="2"/>
        <v>10</v>
      </c>
      <c r="V90" s="203">
        <f t="shared" si="2"/>
        <v>4</v>
      </c>
      <c r="W90" s="203">
        <f t="shared" si="2"/>
        <v>29</v>
      </c>
      <c r="X90" s="203">
        <f t="shared" si="2"/>
        <v>4</v>
      </c>
      <c r="Y90" s="203">
        <f t="shared" si="2"/>
        <v>32</v>
      </c>
      <c r="Z90" s="203">
        <f t="shared" si="2"/>
        <v>2</v>
      </c>
      <c r="AA90" s="203">
        <f t="shared" si="2"/>
        <v>21</v>
      </c>
      <c r="AB90" s="203">
        <f t="shared" si="2"/>
        <v>7</v>
      </c>
      <c r="AC90" s="203">
        <f t="shared" ref="AC90:AE90" si="3">SUM(AC3:AC87)</f>
        <v>13</v>
      </c>
      <c r="AD90" s="203">
        <f t="shared" si="3"/>
        <v>15</v>
      </c>
      <c r="AE90" s="203">
        <f t="shared" si="3"/>
        <v>10</v>
      </c>
    </row>
    <row r="91" spans="2:32" x14ac:dyDescent="0.3">
      <c r="B91" s="286" t="s">
        <v>553</v>
      </c>
      <c r="D91" s="203">
        <f>D90/85</f>
        <v>0.30588235294117649</v>
      </c>
      <c r="E91" s="203">
        <f t="shared" ref="E91:AC91" si="4">E90/85</f>
        <v>0.14117647058823529</v>
      </c>
      <c r="F91" s="203">
        <f t="shared" si="4"/>
        <v>0.22352941176470589</v>
      </c>
      <c r="G91" s="203">
        <f t="shared" si="4"/>
        <v>0.37647058823529411</v>
      </c>
      <c r="H91" s="203">
        <f t="shared" si="4"/>
        <v>0.24705882352941178</v>
      </c>
      <c r="I91" s="203">
        <f t="shared" si="4"/>
        <v>0.23529411764705882</v>
      </c>
      <c r="J91" s="203">
        <f t="shared" si="4"/>
        <v>7.0588235294117646E-2</v>
      </c>
      <c r="K91" s="203">
        <f t="shared" si="4"/>
        <v>0.27058823529411763</v>
      </c>
      <c r="L91" s="203">
        <f t="shared" si="4"/>
        <v>0.23529411764705882</v>
      </c>
      <c r="M91" s="203">
        <f t="shared" si="4"/>
        <v>8.2352941176470587E-2</v>
      </c>
      <c r="N91" s="203">
        <f t="shared" si="4"/>
        <v>0.27058823529411763</v>
      </c>
      <c r="O91" s="203">
        <f t="shared" si="4"/>
        <v>0.28235294117647058</v>
      </c>
      <c r="P91" s="203">
        <f t="shared" si="4"/>
        <v>0.30588235294117649</v>
      </c>
      <c r="Q91" s="203">
        <f t="shared" si="4"/>
        <v>0.21176470588235294</v>
      </c>
      <c r="R91" s="203">
        <f t="shared" si="4"/>
        <v>0.18823529411764706</v>
      </c>
      <c r="S91" s="203">
        <f t="shared" si="4"/>
        <v>0.41176470588235292</v>
      </c>
      <c r="T91" s="203">
        <f t="shared" si="4"/>
        <v>8.2352941176470587E-2</v>
      </c>
      <c r="U91" s="203">
        <f t="shared" si="4"/>
        <v>0.11764705882352941</v>
      </c>
      <c r="V91" s="203">
        <f t="shared" si="4"/>
        <v>4.7058823529411764E-2</v>
      </c>
      <c r="W91" s="203">
        <f t="shared" si="4"/>
        <v>0.3411764705882353</v>
      </c>
      <c r="X91" s="203">
        <f t="shared" si="4"/>
        <v>4.7058823529411764E-2</v>
      </c>
      <c r="Y91" s="203">
        <f t="shared" si="4"/>
        <v>0.37647058823529411</v>
      </c>
      <c r="Z91" s="203">
        <f t="shared" si="4"/>
        <v>2.3529411764705882E-2</v>
      </c>
      <c r="AA91" s="203">
        <f t="shared" si="4"/>
        <v>0.24705882352941178</v>
      </c>
      <c r="AB91" s="203">
        <f t="shared" si="4"/>
        <v>8.2352941176470587E-2</v>
      </c>
      <c r="AC91" s="203">
        <f t="shared" si="4"/>
        <v>0.15294117647058825</v>
      </c>
      <c r="AD91" s="203">
        <f>AD90/85</f>
        <v>0.17647058823529413</v>
      </c>
      <c r="AE91" s="203">
        <f>AE90/85</f>
        <v>0.11764705882352941</v>
      </c>
    </row>
    <row r="92" spans="2:32" x14ac:dyDescent="0.3">
      <c r="B92" s="289" t="s">
        <v>468</v>
      </c>
      <c r="D92" s="203">
        <f>D89/D90</f>
        <v>0</v>
      </c>
      <c r="E92" s="203">
        <f t="shared" ref="E92:AE92" si="5">E89/E90</f>
        <v>0</v>
      </c>
      <c r="F92" s="203">
        <f t="shared" si="5"/>
        <v>0</v>
      </c>
      <c r="G92" s="203">
        <f t="shared" si="5"/>
        <v>0.125</v>
      </c>
      <c r="H92" s="203">
        <f t="shared" si="5"/>
        <v>4.7619047619047616E-2</v>
      </c>
      <c r="I92" s="203">
        <f t="shared" si="5"/>
        <v>0</v>
      </c>
      <c r="J92" s="203">
        <f t="shared" si="5"/>
        <v>0</v>
      </c>
      <c r="K92" s="203">
        <f t="shared" si="5"/>
        <v>0</v>
      </c>
      <c r="L92" s="203">
        <f t="shared" si="5"/>
        <v>0</v>
      </c>
      <c r="M92" s="203">
        <f t="shared" si="5"/>
        <v>0</v>
      </c>
      <c r="N92" s="203">
        <f t="shared" si="5"/>
        <v>4.3478260869565216E-2</v>
      </c>
      <c r="O92" s="203">
        <f t="shared" si="5"/>
        <v>8.3333333333333329E-2</v>
      </c>
      <c r="P92" s="203">
        <f t="shared" si="5"/>
        <v>3.8461538461538464E-2</v>
      </c>
      <c r="Q92" s="203">
        <f t="shared" si="5"/>
        <v>0</v>
      </c>
      <c r="R92" s="203">
        <f t="shared" si="5"/>
        <v>0</v>
      </c>
      <c r="S92" s="203">
        <f t="shared" si="5"/>
        <v>5.7142857142857141E-2</v>
      </c>
      <c r="T92" s="203">
        <f t="shared" si="5"/>
        <v>0</v>
      </c>
      <c r="U92" s="203">
        <f t="shared" si="5"/>
        <v>0</v>
      </c>
      <c r="V92" s="203">
        <f t="shared" si="5"/>
        <v>0</v>
      </c>
      <c r="W92" s="203">
        <f t="shared" si="5"/>
        <v>0</v>
      </c>
      <c r="X92" s="203">
        <f t="shared" si="5"/>
        <v>0</v>
      </c>
      <c r="Y92" s="203">
        <f t="shared" si="5"/>
        <v>0.125</v>
      </c>
      <c r="Z92" s="203">
        <f t="shared" si="5"/>
        <v>0</v>
      </c>
      <c r="AA92" s="203">
        <f t="shared" si="5"/>
        <v>0</v>
      </c>
      <c r="AB92" s="203">
        <f t="shared" si="5"/>
        <v>0</v>
      </c>
      <c r="AC92" s="203">
        <f t="shared" si="5"/>
        <v>0</v>
      </c>
      <c r="AD92" s="203">
        <f t="shared" si="5"/>
        <v>6.6666666666666666E-2</v>
      </c>
      <c r="AE92" s="203">
        <f t="shared" si="5"/>
        <v>0.2</v>
      </c>
    </row>
  </sheetData>
  <phoneticPr fontId="5" type="noConversion"/>
  <conditionalFormatting sqref="A2:B2 B3:B87">
    <cfRule type="cellIs" dxfId="36" priority="18" operator="equal">
      <formula>2</formula>
    </cfRule>
  </conditionalFormatting>
  <conditionalFormatting sqref="A2:B87">
    <cfRule type="cellIs" dxfId="35" priority="15" operator="equal">
      <formula>1</formula>
    </cfRule>
    <cfRule type="cellIs" dxfId="34" priority="16" operator="equal">
      <formula>2</formula>
    </cfRule>
  </conditionalFormatting>
  <conditionalFormatting sqref="C1:C1048576 A79 AF79:XFD79">
    <cfRule type="cellIs" dxfId="33" priority="23" operator="equal">
      <formula>1</formula>
    </cfRule>
  </conditionalFormatting>
  <hyperlinks>
    <hyperlink ref="Y30" r:id="rId1" display="https://baike.baidu.com/item/%E6%80%A7%E6%AC%B2%E5%87%8F%E9%80%80/4352905" xr:uid="{47E6E7C8-B284-401D-AD04-953E6DC6E61E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7C33-FACC-480D-BA7E-92FF1B25F9E9}">
  <dimension ref="A1:AF33"/>
  <sheetViews>
    <sheetView topLeftCell="B1" zoomScale="85" zoomScaleNormal="85" workbookViewId="0">
      <pane xSplit="1" ySplit="2" topLeftCell="C11" activePane="bottomRight" state="frozen"/>
      <selection activeCell="B1" sqref="B1"/>
      <selection pane="topRight" activeCell="C1" sqref="C1"/>
      <selection pane="bottomLeft" activeCell="B3" sqref="B3"/>
      <selection pane="bottomRight" activeCell="B31" sqref="B31"/>
    </sheetView>
  </sheetViews>
  <sheetFormatPr defaultColWidth="8.9140625" defaultRowHeight="13" x14ac:dyDescent="0.3"/>
  <cols>
    <col min="1" max="1" width="0" style="198" hidden="1" customWidth="1"/>
    <col min="2" max="2" width="27.4140625" style="199" customWidth="1"/>
    <col min="3" max="3" width="34" style="199" customWidth="1"/>
    <col min="4" max="4" width="10.58203125" style="201" customWidth="1"/>
    <col min="5" max="5" width="9.08203125" style="202" customWidth="1"/>
    <col min="6" max="6" width="11.25" style="202" customWidth="1"/>
    <col min="7" max="7" width="11.58203125" style="201" customWidth="1"/>
    <col min="8" max="8" width="9.9140625" style="201" customWidth="1"/>
    <col min="9" max="9" width="8.75" style="201" customWidth="1"/>
    <col min="10" max="10" width="11" style="202" customWidth="1"/>
    <col min="11" max="11" width="8.9140625" style="201" customWidth="1"/>
    <col min="12" max="12" width="10.08203125" style="201" customWidth="1"/>
    <col min="13" max="13" width="11.58203125" style="201" customWidth="1"/>
    <col min="14" max="14" width="11.4140625" style="201" customWidth="1"/>
    <col min="15" max="15" width="10.58203125" style="201" customWidth="1"/>
    <col min="16" max="16" width="9" style="201" customWidth="1"/>
    <col min="17" max="17" width="9.4140625" style="201" customWidth="1"/>
    <col min="18" max="18" width="11.4140625" style="201" customWidth="1"/>
    <col min="19" max="19" width="8.33203125" style="201" customWidth="1"/>
    <col min="20" max="20" width="11.58203125" style="198" customWidth="1"/>
    <col min="21" max="21" width="15.4140625" style="201" customWidth="1"/>
    <col min="22" max="22" width="8.58203125" style="201" customWidth="1"/>
    <col min="23" max="23" width="10.58203125" style="201" customWidth="1"/>
    <col min="24" max="24" width="9.58203125" style="202" customWidth="1"/>
    <col min="25" max="25" width="10.08203125" style="201" customWidth="1"/>
    <col min="26" max="26" width="10" style="203" customWidth="1"/>
    <col min="27" max="27" width="12.08203125" style="202" customWidth="1"/>
    <col min="28" max="28" width="12.75" style="202" customWidth="1"/>
    <col min="29" max="29" width="10.6640625" style="202" customWidth="1"/>
    <col min="30" max="30" width="7.4140625" style="204" customWidth="1"/>
    <col min="31" max="31" width="12.58203125" style="205" customWidth="1"/>
    <col min="32" max="16384" width="8.9140625" style="206"/>
  </cols>
  <sheetData>
    <row r="1" spans="1:31" ht="40" x14ac:dyDescent="0.3">
      <c r="B1" s="199" t="s">
        <v>578</v>
      </c>
    </row>
    <row r="2" spans="1:31" s="210" customFormat="1" ht="26.5" x14ac:dyDescent="0.3">
      <c r="A2" s="200" t="s">
        <v>580</v>
      </c>
      <c r="B2" s="207"/>
      <c r="C2" s="207"/>
      <c r="D2" s="203" t="s">
        <v>220</v>
      </c>
      <c r="E2" s="202" t="s">
        <v>215</v>
      </c>
      <c r="F2" s="202" t="s">
        <v>237</v>
      </c>
      <c r="G2" s="203" t="s">
        <v>221</v>
      </c>
      <c r="H2" s="203" t="s">
        <v>256</v>
      </c>
      <c r="I2" s="203" t="s">
        <v>481</v>
      </c>
      <c r="J2" s="202" t="s">
        <v>482</v>
      </c>
      <c r="K2" s="208" t="s">
        <v>218</v>
      </c>
      <c r="L2" s="208" t="s">
        <v>483</v>
      </c>
      <c r="M2" s="208" t="s">
        <v>556</v>
      </c>
      <c r="N2" s="208" t="s">
        <v>581</v>
      </c>
      <c r="O2" s="208" t="s">
        <v>582</v>
      </c>
      <c r="P2" s="203" t="s">
        <v>222</v>
      </c>
      <c r="Q2" s="203" t="s">
        <v>559</v>
      </c>
      <c r="R2" s="203" t="s">
        <v>484</v>
      </c>
      <c r="S2" s="203" t="s">
        <v>485</v>
      </c>
      <c r="T2" s="200" t="s">
        <v>665</v>
      </c>
      <c r="U2" s="203" t="s">
        <v>551</v>
      </c>
      <c r="V2" s="203" t="s">
        <v>486</v>
      </c>
      <c r="W2" s="208" t="s">
        <v>487</v>
      </c>
      <c r="X2" s="202" t="s">
        <v>488</v>
      </c>
      <c r="Y2" s="203" t="s">
        <v>398</v>
      </c>
      <c r="Z2" s="203" t="s">
        <v>489</v>
      </c>
      <c r="AA2" s="202" t="s">
        <v>554</v>
      </c>
      <c r="AB2" s="202" t="s">
        <v>589</v>
      </c>
      <c r="AC2" s="202" t="s">
        <v>216</v>
      </c>
      <c r="AD2" s="209" t="s">
        <v>424</v>
      </c>
      <c r="AE2" s="205" t="s">
        <v>461</v>
      </c>
    </row>
    <row r="3" spans="1:31" x14ac:dyDescent="0.3">
      <c r="A3" s="211">
        <v>2</v>
      </c>
      <c r="B3" s="212" t="s">
        <v>538</v>
      </c>
      <c r="C3" s="207">
        <v>1</v>
      </c>
      <c r="D3" s="203"/>
      <c r="F3" s="209"/>
      <c r="G3" s="203"/>
      <c r="H3" s="203"/>
      <c r="I3" s="203"/>
      <c r="K3" s="203"/>
      <c r="L3" s="203"/>
      <c r="M3" s="203"/>
      <c r="N3" s="209">
        <v>1</v>
      </c>
      <c r="O3" s="209">
        <v>1</v>
      </c>
      <c r="P3" s="203"/>
      <c r="Q3" s="203"/>
      <c r="R3" s="203"/>
      <c r="S3" s="203"/>
      <c r="T3" s="200"/>
      <c r="U3" s="203"/>
      <c r="V3" s="203"/>
      <c r="W3" s="203"/>
      <c r="Y3" s="209">
        <v>1</v>
      </c>
      <c r="AB3" s="202">
        <v>1</v>
      </c>
      <c r="AD3" s="205">
        <v>1</v>
      </c>
    </row>
    <row r="4" spans="1:31" x14ac:dyDescent="0.3">
      <c r="A4" s="211">
        <v>3</v>
      </c>
      <c r="B4" s="213" t="s">
        <v>490</v>
      </c>
      <c r="C4" s="207">
        <v>1</v>
      </c>
      <c r="D4" s="214">
        <v>1</v>
      </c>
      <c r="G4" s="203"/>
      <c r="H4" s="203"/>
      <c r="I4" s="202"/>
      <c r="K4" s="203">
        <v>1</v>
      </c>
      <c r="L4" s="203"/>
      <c r="M4" s="203">
        <v>1</v>
      </c>
      <c r="N4" s="203">
        <v>1</v>
      </c>
      <c r="O4" s="203">
        <v>1</v>
      </c>
      <c r="P4" s="214"/>
      <c r="Q4" s="203"/>
      <c r="R4" s="203"/>
      <c r="S4" s="203"/>
      <c r="T4" s="215">
        <v>1</v>
      </c>
      <c r="U4" s="205"/>
      <c r="V4" s="203">
        <v>1</v>
      </c>
      <c r="W4" s="203"/>
      <c r="Y4" s="205">
        <v>1</v>
      </c>
      <c r="AB4" s="202">
        <v>1</v>
      </c>
      <c r="AD4" s="204">
        <v>1</v>
      </c>
    </row>
    <row r="5" spans="1:31" x14ac:dyDescent="0.3">
      <c r="A5" s="211">
        <v>4</v>
      </c>
      <c r="B5" s="213" t="s">
        <v>491</v>
      </c>
      <c r="C5" s="207">
        <v>1</v>
      </c>
      <c r="D5" s="203"/>
      <c r="F5" s="216">
        <v>1</v>
      </c>
      <c r="G5" s="203"/>
      <c r="H5" s="217">
        <v>1</v>
      </c>
      <c r="I5" s="217"/>
      <c r="K5" s="203"/>
      <c r="L5" s="209">
        <v>1</v>
      </c>
      <c r="M5" s="203"/>
      <c r="N5" s="203">
        <v>1</v>
      </c>
      <c r="O5" s="203">
        <v>1</v>
      </c>
      <c r="P5" s="203"/>
      <c r="Q5" s="203">
        <v>1</v>
      </c>
      <c r="R5" s="203"/>
      <c r="S5" s="203"/>
      <c r="T5" s="200"/>
      <c r="U5" s="218">
        <v>1</v>
      </c>
      <c r="V5" s="203"/>
      <c r="W5" s="203">
        <v>1</v>
      </c>
      <c r="X5" s="219">
        <v>1</v>
      </c>
      <c r="Y5" s="205">
        <v>1</v>
      </c>
      <c r="AA5" s="202">
        <v>1</v>
      </c>
      <c r="AB5" s="202">
        <v>1</v>
      </c>
      <c r="AC5" s="202">
        <v>1</v>
      </c>
      <c r="AD5" s="204">
        <v>1</v>
      </c>
      <c r="AE5" s="205">
        <v>1</v>
      </c>
    </row>
    <row r="6" spans="1:31" ht="36.9" customHeight="1" x14ac:dyDescent="0.3">
      <c r="A6" s="211">
        <v>7</v>
      </c>
      <c r="B6" s="213" t="s">
        <v>492</v>
      </c>
      <c r="C6" s="207">
        <v>1</v>
      </c>
      <c r="D6" s="203"/>
      <c r="F6" s="209">
        <v>1</v>
      </c>
      <c r="G6" s="203">
        <v>1</v>
      </c>
      <c r="H6" s="217">
        <v>1</v>
      </c>
      <c r="I6" s="217"/>
      <c r="K6" s="203"/>
      <c r="L6" s="203"/>
      <c r="M6" s="203"/>
      <c r="N6" s="203">
        <v>1</v>
      </c>
      <c r="O6" s="203">
        <v>1</v>
      </c>
      <c r="P6" s="203"/>
      <c r="Q6" s="203"/>
      <c r="R6" s="220">
        <v>1</v>
      </c>
      <c r="S6" s="205">
        <v>1</v>
      </c>
      <c r="T6" s="215"/>
      <c r="U6" s="220">
        <v>1</v>
      </c>
      <c r="V6" s="203">
        <v>1</v>
      </c>
      <c r="W6" s="203"/>
      <c r="Y6" s="220">
        <v>1</v>
      </c>
      <c r="Z6" s="221">
        <v>1</v>
      </c>
      <c r="AB6" s="202">
        <v>1</v>
      </c>
      <c r="AD6" s="204">
        <v>1</v>
      </c>
    </row>
    <row r="7" spans="1:31" x14ac:dyDescent="0.3">
      <c r="A7" s="211">
        <v>6</v>
      </c>
      <c r="B7" s="213" t="s">
        <v>493</v>
      </c>
      <c r="C7" s="207">
        <v>1</v>
      </c>
      <c r="D7" s="203"/>
      <c r="F7" s="216">
        <v>1</v>
      </c>
      <c r="G7" s="203">
        <v>1</v>
      </c>
      <c r="H7" s="203"/>
      <c r="I7" s="209">
        <v>1</v>
      </c>
      <c r="K7" s="203">
        <v>1</v>
      </c>
      <c r="L7" s="203"/>
      <c r="M7" s="205">
        <v>1</v>
      </c>
      <c r="N7" s="203">
        <v>1</v>
      </c>
      <c r="O7" s="203">
        <v>1</v>
      </c>
      <c r="P7" s="203">
        <v>1</v>
      </c>
      <c r="Q7" s="203"/>
      <c r="R7" s="222">
        <v>1</v>
      </c>
      <c r="S7" s="205">
        <v>1</v>
      </c>
      <c r="T7" s="215"/>
      <c r="U7" s="218">
        <v>1</v>
      </c>
      <c r="V7" s="203">
        <v>1</v>
      </c>
      <c r="W7" s="203"/>
      <c r="X7" s="202">
        <v>1</v>
      </c>
      <c r="Y7" s="220">
        <v>1</v>
      </c>
      <c r="AB7" s="202">
        <v>1</v>
      </c>
      <c r="AD7" s="204">
        <v>1</v>
      </c>
    </row>
    <row r="8" spans="1:31" ht="67.25" customHeight="1" x14ac:dyDescent="0.3">
      <c r="A8" s="224">
        <v>11</v>
      </c>
      <c r="B8" s="225" t="s">
        <v>566</v>
      </c>
      <c r="C8" s="207">
        <v>5</v>
      </c>
      <c r="G8" s="203"/>
      <c r="H8" s="203"/>
      <c r="I8" s="203"/>
      <c r="K8" s="203">
        <v>1</v>
      </c>
      <c r="L8" s="226">
        <v>1</v>
      </c>
      <c r="M8" s="203"/>
      <c r="N8" s="203"/>
      <c r="O8" s="203"/>
      <c r="P8" s="203"/>
      <c r="Q8" s="203"/>
      <c r="R8" s="203"/>
      <c r="S8" s="203"/>
      <c r="T8" s="200"/>
      <c r="U8" s="203"/>
      <c r="V8" s="203"/>
      <c r="W8" s="203"/>
      <c r="Y8" s="209">
        <v>1</v>
      </c>
      <c r="AA8" s="202">
        <v>1</v>
      </c>
      <c r="AD8" s="205">
        <v>1</v>
      </c>
    </row>
    <row r="9" spans="1:31" ht="43" customHeight="1" x14ac:dyDescent="0.3">
      <c r="A9" s="236">
        <v>24</v>
      </c>
      <c r="B9" s="225" t="s">
        <v>610</v>
      </c>
      <c r="C9" s="207">
        <v>7</v>
      </c>
      <c r="D9" s="203"/>
      <c r="E9" s="202">
        <v>1</v>
      </c>
      <c r="G9" s="203">
        <v>1</v>
      </c>
      <c r="H9" s="203"/>
      <c r="I9" s="219">
        <v>1</v>
      </c>
      <c r="J9" s="202">
        <v>1</v>
      </c>
      <c r="K9" s="219">
        <v>1</v>
      </c>
      <c r="L9" s="203"/>
      <c r="M9" s="203"/>
      <c r="N9" s="209">
        <v>1</v>
      </c>
      <c r="O9" s="209">
        <v>1</v>
      </c>
      <c r="P9" s="237">
        <v>1</v>
      </c>
      <c r="Q9" s="203"/>
      <c r="R9" s="203"/>
      <c r="S9" s="222">
        <v>1</v>
      </c>
      <c r="T9" s="215">
        <v>1</v>
      </c>
      <c r="U9" s="205"/>
      <c r="V9" s="203"/>
      <c r="W9" s="203"/>
      <c r="Y9" s="209">
        <v>1</v>
      </c>
      <c r="AC9" s="202">
        <v>1</v>
      </c>
      <c r="AD9" s="238">
        <v>1</v>
      </c>
    </row>
    <row r="10" spans="1:31" x14ac:dyDescent="0.3">
      <c r="A10" s="240">
        <v>33</v>
      </c>
      <c r="B10" s="225" t="s">
        <v>640</v>
      </c>
      <c r="C10" s="207">
        <v>7</v>
      </c>
      <c r="D10" s="216">
        <v>1</v>
      </c>
      <c r="E10" s="202">
        <v>1</v>
      </c>
      <c r="G10" s="203"/>
      <c r="H10" s="203"/>
      <c r="I10" s="203"/>
      <c r="K10" s="203">
        <v>1</v>
      </c>
      <c r="L10" s="203"/>
      <c r="M10" s="205">
        <v>1</v>
      </c>
      <c r="N10" s="205"/>
      <c r="O10" s="205"/>
      <c r="P10" s="203"/>
      <c r="Q10" s="203"/>
      <c r="R10" s="203"/>
      <c r="S10" s="203"/>
      <c r="T10" s="235">
        <v>1</v>
      </c>
      <c r="U10" s="217"/>
      <c r="V10" s="203">
        <v>1</v>
      </c>
      <c r="W10" s="203">
        <v>1</v>
      </c>
      <c r="Y10" s="217"/>
      <c r="AA10" s="202">
        <v>1</v>
      </c>
    </row>
    <row r="11" spans="1:31" ht="86" customHeight="1" x14ac:dyDescent="0.3">
      <c r="A11" s="242" t="s">
        <v>467</v>
      </c>
      <c r="B11" s="225" t="s">
        <v>642</v>
      </c>
      <c r="C11" s="207">
        <v>6</v>
      </c>
      <c r="D11" s="203"/>
      <c r="E11" s="216">
        <v>1</v>
      </c>
      <c r="F11" s="216">
        <v>1</v>
      </c>
      <c r="G11" s="203"/>
      <c r="H11" s="217">
        <v>1</v>
      </c>
      <c r="I11" s="209">
        <v>1</v>
      </c>
      <c r="J11" s="202">
        <v>1</v>
      </c>
      <c r="K11" s="203">
        <v>1</v>
      </c>
      <c r="L11" s="203"/>
      <c r="M11" s="205">
        <v>1</v>
      </c>
      <c r="N11" s="205"/>
      <c r="O11" s="205"/>
      <c r="P11" s="203"/>
      <c r="Q11" s="202">
        <v>1</v>
      </c>
      <c r="R11" s="220">
        <v>1</v>
      </c>
      <c r="S11" s="205">
        <v>1</v>
      </c>
      <c r="T11" s="215"/>
      <c r="U11" s="222">
        <v>1</v>
      </c>
      <c r="V11" s="203"/>
      <c r="W11" s="203"/>
      <c r="Y11" s="203"/>
    </row>
    <row r="12" spans="1:31" x14ac:dyDescent="0.3">
      <c r="A12" s="241"/>
      <c r="B12" s="243" t="s">
        <v>540</v>
      </c>
      <c r="C12" s="207">
        <v>2</v>
      </c>
      <c r="D12" s="214">
        <v>1</v>
      </c>
      <c r="G12" s="203"/>
      <c r="H12" s="217">
        <v>1</v>
      </c>
      <c r="I12" s="217"/>
      <c r="K12" s="203"/>
      <c r="L12" s="209">
        <v>1</v>
      </c>
      <c r="M12" s="209"/>
      <c r="N12" s="209"/>
      <c r="O12" s="209"/>
      <c r="P12" s="203"/>
      <c r="Q12" s="202">
        <v>1</v>
      </c>
      <c r="R12" s="202"/>
      <c r="S12" s="205">
        <v>1</v>
      </c>
      <c r="T12" s="215"/>
      <c r="U12" s="205"/>
      <c r="V12" s="203"/>
      <c r="W12" s="203">
        <v>1</v>
      </c>
      <c r="Y12" s="205"/>
      <c r="AA12" s="202">
        <v>1</v>
      </c>
      <c r="AE12" s="205">
        <v>1</v>
      </c>
    </row>
    <row r="13" spans="1:31" ht="23.5" customHeight="1" x14ac:dyDescent="0.3">
      <c r="A13" s="241">
        <v>41</v>
      </c>
      <c r="B13" s="213" t="s">
        <v>503</v>
      </c>
      <c r="C13" s="207">
        <v>2</v>
      </c>
      <c r="D13" s="214">
        <v>1</v>
      </c>
      <c r="E13" s="202">
        <v>1</v>
      </c>
      <c r="G13" s="203"/>
      <c r="H13" s="203">
        <v>1</v>
      </c>
      <c r="I13" s="209">
        <v>1</v>
      </c>
      <c r="K13" s="203">
        <v>1</v>
      </c>
      <c r="L13" s="203">
        <v>1</v>
      </c>
      <c r="M13" s="205">
        <v>1</v>
      </c>
      <c r="N13" s="205"/>
      <c r="O13" s="205"/>
      <c r="P13" s="203">
        <v>1</v>
      </c>
      <c r="Q13" s="203">
        <v>1</v>
      </c>
      <c r="R13" s="203"/>
      <c r="S13" s="205">
        <v>1</v>
      </c>
      <c r="T13" s="235">
        <v>1</v>
      </c>
      <c r="U13" s="217"/>
      <c r="V13" s="203"/>
      <c r="W13" s="203">
        <v>1</v>
      </c>
      <c r="X13" s="219">
        <v>1</v>
      </c>
      <c r="Y13" s="209">
        <v>1</v>
      </c>
      <c r="AA13" s="244">
        <v>1</v>
      </c>
      <c r="AC13" s="202">
        <v>1</v>
      </c>
      <c r="AD13" s="205">
        <v>1</v>
      </c>
      <c r="AE13" s="205">
        <v>1</v>
      </c>
    </row>
    <row r="14" spans="1:31" x14ac:dyDescent="0.3">
      <c r="A14" s="241">
        <v>42</v>
      </c>
      <c r="B14" s="213" t="s">
        <v>504</v>
      </c>
      <c r="C14" s="207">
        <v>2</v>
      </c>
      <c r="D14" s="214">
        <v>1</v>
      </c>
      <c r="G14" s="203"/>
      <c r="H14" s="203">
        <v>1</v>
      </c>
      <c r="I14" s="203"/>
      <c r="K14" s="203"/>
      <c r="L14" s="203">
        <v>1</v>
      </c>
      <c r="M14" s="203"/>
      <c r="N14" s="203"/>
      <c r="O14" s="203"/>
      <c r="P14" s="214">
        <v>1</v>
      </c>
      <c r="Q14" s="203">
        <v>1</v>
      </c>
      <c r="R14" s="203"/>
      <c r="S14" s="205">
        <v>1</v>
      </c>
      <c r="T14" s="215"/>
      <c r="U14" s="205"/>
      <c r="V14" s="203"/>
      <c r="W14" s="203">
        <v>1</v>
      </c>
      <c r="Y14" s="205"/>
      <c r="AA14" s="202">
        <v>1</v>
      </c>
      <c r="AE14" s="205">
        <v>1</v>
      </c>
    </row>
    <row r="15" spans="1:31" x14ac:dyDescent="0.3">
      <c r="A15" s="241">
        <v>59</v>
      </c>
      <c r="B15" s="245" t="s">
        <v>644</v>
      </c>
      <c r="C15" s="207">
        <v>8</v>
      </c>
      <c r="D15" s="214">
        <v>1</v>
      </c>
      <c r="G15" s="203"/>
      <c r="H15" s="203"/>
      <c r="I15" s="203"/>
      <c r="K15" s="203"/>
      <c r="L15" s="203"/>
      <c r="M15" s="203"/>
      <c r="N15" s="203"/>
      <c r="O15" s="203"/>
      <c r="P15" s="203"/>
      <c r="Q15" s="203"/>
      <c r="R15" s="203"/>
      <c r="S15" s="203"/>
      <c r="T15" s="200"/>
      <c r="U15" s="203"/>
      <c r="V15" s="203"/>
      <c r="W15" s="203">
        <v>1</v>
      </c>
      <c r="Y15" s="203"/>
    </row>
    <row r="16" spans="1:31" ht="27.9" customHeight="1" x14ac:dyDescent="0.3">
      <c r="A16" s="246">
        <v>63</v>
      </c>
      <c r="B16" s="225" t="s">
        <v>506</v>
      </c>
      <c r="C16" s="207">
        <v>5</v>
      </c>
      <c r="D16" s="203"/>
      <c r="G16" s="203"/>
      <c r="H16" s="203"/>
      <c r="I16" s="203"/>
      <c r="K16" s="203"/>
      <c r="L16" s="226">
        <v>1</v>
      </c>
      <c r="M16" s="203"/>
      <c r="N16" s="203"/>
      <c r="O16" s="203"/>
      <c r="P16" s="247">
        <v>1</v>
      </c>
      <c r="Q16" s="203"/>
      <c r="R16" s="203"/>
      <c r="S16" s="205">
        <v>1</v>
      </c>
      <c r="T16" s="215"/>
      <c r="U16" s="205"/>
      <c r="V16" s="203"/>
      <c r="W16" s="203">
        <v>1</v>
      </c>
      <c r="Y16" s="203">
        <v>1</v>
      </c>
    </row>
    <row r="17" spans="1:32" x14ac:dyDescent="0.3">
      <c r="A17" s="250">
        <v>19</v>
      </c>
      <c r="B17" s="245" t="s">
        <v>510</v>
      </c>
      <c r="C17" s="207">
        <v>6</v>
      </c>
      <c r="D17" s="214">
        <v>1</v>
      </c>
      <c r="F17" s="251"/>
      <c r="G17" s="214">
        <v>1</v>
      </c>
      <c r="H17" s="214"/>
      <c r="I17" s="220">
        <v>1</v>
      </c>
      <c r="K17" s="203">
        <v>1</v>
      </c>
      <c r="L17" s="209">
        <v>1</v>
      </c>
      <c r="M17" s="209"/>
      <c r="N17" s="209"/>
      <c r="O17" s="209"/>
      <c r="P17" s="214">
        <v>1</v>
      </c>
      <c r="Q17" s="202">
        <v>1</v>
      </c>
      <c r="R17" s="220">
        <v>1</v>
      </c>
      <c r="S17" s="220"/>
      <c r="T17" s="230"/>
      <c r="U17" s="220"/>
      <c r="V17" s="203"/>
      <c r="W17" s="203">
        <v>1</v>
      </c>
      <c r="Y17" s="220"/>
      <c r="AA17" s="202">
        <v>1</v>
      </c>
      <c r="AC17" s="202">
        <v>1</v>
      </c>
      <c r="AD17" s="205">
        <v>1</v>
      </c>
    </row>
    <row r="18" spans="1:32" x14ac:dyDescent="0.3">
      <c r="A18" s="252">
        <v>43</v>
      </c>
      <c r="B18" s="243" t="s">
        <v>545</v>
      </c>
      <c r="C18" s="207">
        <v>3</v>
      </c>
      <c r="D18" s="203"/>
      <c r="F18" s="251"/>
      <c r="G18" s="214">
        <v>1</v>
      </c>
      <c r="H18" s="214"/>
      <c r="I18" s="214"/>
      <c r="K18" s="203">
        <v>1</v>
      </c>
      <c r="L18" s="209">
        <v>1</v>
      </c>
      <c r="M18" s="209"/>
      <c r="N18" s="209"/>
      <c r="O18" s="209"/>
      <c r="P18" s="209"/>
      <c r="Q18" s="203"/>
      <c r="R18" s="203"/>
      <c r="S18" s="203"/>
      <c r="T18" s="200"/>
      <c r="U18" s="203"/>
      <c r="V18" s="203"/>
      <c r="W18" s="203">
        <v>1</v>
      </c>
      <c r="Y18" s="203"/>
    </row>
    <row r="19" spans="1:32" x14ac:dyDescent="0.3">
      <c r="A19" s="253">
        <v>44</v>
      </c>
      <c r="B19" s="213" t="s">
        <v>511</v>
      </c>
      <c r="C19" s="207">
        <v>3</v>
      </c>
      <c r="D19" s="203"/>
      <c r="F19" s="251"/>
      <c r="G19" s="214">
        <v>1</v>
      </c>
      <c r="H19" s="217">
        <v>1</v>
      </c>
      <c r="I19" s="217"/>
      <c r="K19" s="203">
        <v>1</v>
      </c>
      <c r="L19" s="203">
        <v>1</v>
      </c>
      <c r="M19" s="203"/>
      <c r="N19" s="203"/>
      <c r="O19" s="203"/>
      <c r="P19" s="214">
        <v>1</v>
      </c>
      <c r="Q19" s="203"/>
      <c r="R19" s="203"/>
      <c r="S19" s="203"/>
      <c r="T19" s="200"/>
      <c r="U19" s="203"/>
      <c r="V19" s="203"/>
      <c r="W19" s="203">
        <v>1</v>
      </c>
      <c r="Y19" s="203"/>
    </row>
    <row r="20" spans="1:32" x14ac:dyDescent="0.3">
      <c r="A20" s="254">
        <v>45</v>
      </c>
      <c r="B20" s="213" t="s">
        <v>512</v>
      </c>
      <c r="C20" s="207">
        <v>3</v>
      </c>
      <c r="D20" s="214">
        <v>1</v>
      </c>
      <c r="F20" s="220">
        <v>1</v>
      </c>
      <c r="G20" s="214">
        <v>1</v>
      </c>
      <c r="H20" s="214"/>
      <c r="I20" s="220">
        <v>1</v>
      </c>
      <c r="K20" s="203">
        <v>1</v>
      </c>
      <c r="L20" s="203">
        <v>1</v>
      </c>
      <c r="M20" s="203"/>
      <c r="N20" s="203"/>
      <c r="O20" s="203"/>
      <c r="P20" s="214">
        <v>1</v>
      </c>
      <c r="Q20" s="203"/>
      <c r="R20" s="220">
        <v>1</v>
      </c>
      <c r="S20" s="205">
        <v>1</v>
      </c>
      <c r="T20" s="215"/>
      <c r="U20" s="205"/>
      <c r="V20" s="203"/>
      <c r="W20" s="203">
        <v>1</v>
      </c>
      <c r="Y20" s="205"/>
      <c r="AD20" s="205">
        <v>1</v>
      </c>
    </row>
    <row r="21" spans="1:32" x14ac:dyDescent="0.3">
      <c r="A21" s="255">
        <v>46</v>
      </c>
      <c r="B21" s="256" t="s">
        <v>550</v>
      </c>
      <c r="C21" s="207">
        <v>4</v>
      </c>
      <c r="D21" s="214">
        <v>1</v>
      </c>
      <c r="F21" s="251"/>
      <c r="G21" s="214">
        <v>1</v>
      </c>
      <c r="H21" s="214"/>
      <c r="I21" s="214"/>
      <c r="K21" s="203"/>
      <c r="L21" s="209">
        <v>1</v>
      </c>
      <c r="M21" s="209"/>
      <c r="N21" s="209"/>
      <c r="O21" s="209"/>
      <c r="P21" s="214"/>
      <c r="Q21" s="203"/>
      <c r="R21" s="203"/>
      <c r="S21" s="203"/>
      <c r="T21" s="200"/>
      <c r="U21" s="203"/>
      <c r="V21" s="203"/>
      <c r="W21" s="203">
        <v>1</v>
      </c>
      <c r="Y21" s="203"/>
      <c r="AA21" s="202">
        <v>1</v>
      </c>
    </row>
    <row r="22" spans="1:32" x14ac:dyDescent="0.3">
      <c r="A22" s="250">
        <v>47</v>
      </c>
      <c r="B22" s="213" t="s">
        <v>513</v>
      </c>
      <c r="C22" s="207">
        <v>4</v>
      </c>
      <c r="D22" s="203">
        <v>1</v>
      </c>
      <c r="F22" s="204">
        <v>1</v>
      </c>
      <c r="G22" s="214">
        <v>1</v>
      </c>
      <c r="H22" s="257">
        <v>1</v>
      </c>
      <c r="I22" s="251">
        <v>1</v>
      </c>
      <c r="K22" s="203">
        <v>1</v>
      </c>
      <c r="L22" s="203">
        <v>1</v>
      </c>
      <c r="M22" s="203"/>
      <c r="N22" s="203"/>
      <c r="O22" s="203"/>
      <c r="P22" s="214">
        <v>1</v>
      </c>
      <c r="Q22" s="203"/>
      <c r="R22" s="220">
        <v>1</v>
      </c>
      <c r="S22" s="220"/>
      <c r="T22" s="230"/>
      <c r="U22" s="217">
        <v>1</v>
      </c>
      <c r="V22" s="203"/>
      <c r="W22" s="203">
        <v>1</v>
      </c>
      <c r="Y22" s="217"/>
      <c r="AA22" s="202">
        <v>1</v>
      </c>
    </row>
    <row r="23" spans="1:32" x14ac:dyDescent="0.3">
      <c r="A23" s="258">
        <v>48</v>
      </c>
      <c r="B23" s="213" t="s">
        <v>514</v>
      </c>
      <c r="C23" s="207">
        <v>4</v>
      </c>
      <c r="D23" s="203">
        <v>1</v>
      </c>
      <c r="F23" s="251"/>
      <c r="G23" s="214">
        <v>1</v>
      </c>
      <c r="H23" s="214"/>
      <c r="I23" s="214"/>
      <c r="K23" s="203"/>
      <c r="L23" s="203">
        <v>1</v>
      </c>
      <c r="M23" s="203"/>
      <c r="N23" s="203"/>
      <c r="O23" s="203"/>
      <c r="P23" s="214">
        <v>1</v>
      </c>
      <c r="Q23" s="203"/>
      <c r="R23" s="203"/>
      <c r="S23" s="203"/>
      <c r="T23" s="200"/>
      <c r="U23" s="203"/>
      <c r="V23" s="203"/>
      <c r="W23" s="203">
        <v>1</v>
      </c>
      <c r="Y23" s="203"/>
      <c r="AA23" s="202">
        <v>1</v>
      </c>
    </row>
    <row r="24" spans="1:32" x14ac:dyDescent="0.3">
      <c r="A24" s="259">
        <v>49</v>
      </c>
      <c r="B24" s="213" t="s">
        <v>515</v>
      </c>
      <c r="C24" s="207">
        <v>4</v>
      </c>
      <c r="D24" s="203">
        <v>1</v>
      </c>
      <c r="F24" s="251"/>
      <c r="G24" s="214">
        <v>1</v>
      </c>
      <c r="H24" s="214"/>
      <c r="I24" s="214"/>
      <c r="K24" s="203"/>
      <c r="L24" s="203">
        <v>1</v>
      </c>
      <c r="M24" s="203"/>
      <c r="N24" s="203"/>
      <c r="O24" s="203"/>
      <c r="P24" s="203"/>
      <c r="Q24" s="203"/>
      <c r="R24" s="203"/>
      <c r="S24" s="203"/>
      <c r="T24" s="200"/>
      <c r="U24" s="203"/>
      <c r="V24" s="203"/>
      <c r="W24" s="203">
        <v>1</v>
      </c>
      <c r="Y24" s="209">
        <v>1</v>
      </c>
      <c r="AA24" s="202">
        <v>1</v>
      </c>
    </row>
    <row r="25" spans="1:32" x14ac:dyDescent="0.3">
      <c r="A25" s="260">
        <v>50</v>
      </c>
      <c r="B25" s="213" t="s">
        <v>516</v>
      </c>
      <c r="C25" s="207">
        <v>4</v>
      </c>
      <c r="D25" s="203">
        <v>1</v>
      </c>
      <c r="F25" s="251"/>
      <c r="G25" s="214">
        <v>1</v>
      </c>
      <c r="H25" s="214"/>
      <c r="I25" s="214"/>
      <c r="K25" s="203"/>
      <c r="L25" s="203">
        <v>1</v>
      </c>
      <c r="M25" s="203"/>
      <c r="N25" s="203"/>
      <c r="O25" s="203"/>
      <c r="P25" s="203"/>
      <c r="Q25" s="203"/>
      <c r="R25" s="203"/>
      <c r="S25" s="203"/>
      <c r="T25" s="200"/>
      <c r="U25" s="203"/>
      <c r="V25" s="203"/>
      <c r="W25" s="203">
        <v>1</v>
      </c>
      <c r="Y25" s="209">
        <v>1</v>
      </c>
      <c r="AA25" s="202">
        <v>1</v>
      </c>
    </row>
    <row r="26" spans="1:32" x14ac:dyDescent="0.3">
      <c r="A26" s="261">
        <v>51</v>
      </c>
      <c r="B26" s="213" t="s">
        <v>517</v>
      </c>
      <c r="C26" s="207">
        <v>4</v>
      </c>
      <c r="D26" s="203">
        <v>1</v>
      </c>
      <c r="F26" s="251"/>
      <c r="G26" s="214">
        <v>1</v>
      </c>
      <c r="H26" s="214"/>
      <c r="I26" s="251"/>
      <c r="K26" s="203"/>
      <c r="L26" s="203">
        <v>1</v>
      </c>
      <c r="M26" s="203"/>
      <c r="N26" s="203"/>
      <c r="O26" s="203"/>
      <c r="P26" s="203"/>
      <c r="Q26" s="203"/>
      <c r="R26" s="203"/>
      <c r="S26" s="203"/>
      <c r="T26" s="200"/>
      <c r="U26" s="203"/>
      <c r="V26" s="203"/>
      <c r="W26" s="202">
        <v>1</v>
      </c>
      <c r="Y26" s="209">
        <v>1</v>
      </c>
      <c r="AA26" s="202">
        <v>1</v>
      </c>
    </row>
    <row r="27" spans="1:32" x14ac:dyDescent="0.3">
      <c r="A27" s="250">
        <v>53</v>
      </c>
      <c r="B27" s="262" t="s">
        <v>518</v>
      </c>
      <c r="C27" s="207">
        <v>3</v>
      </c>
      <c r="D27" s="214">
        <v>1</v>
      </c>
      <c r="F27" s="251"/>
      <c r="G27" s="214"/>
      <c r="H27" s="214"/>
      <c r="I27" s="220">
        <v>1</v>
      </c>
      <c r="K27" s="203"/>
      <c r="L27" s="203"/>
      <c r="M27" s="203"/>
      <c r="N27" s="203"/>
      <c r="O27" s="203"/>
      <c r="P27" s="203"/>
      <c r="Q27" s="203"/>
      <c r="R27" s="203"/>
      <c r="S27" s="203"/>
      <c r="T27" s="200"/>
      <c r="U27" s="203"/>
      <c r="V27" s="203"/>
      <c r="W27" s="203">
        <v>1</v>
      </c>
      <c r="Y27" s="209">
        <v>1</v>
      </c>
    </row>
    <row r="28" spans="1:32" x14ac:dyDescent="0.3">
      <c r="A28" s="200">
        <v>39</v>
      </c>
      <c r="B28" s="270" t="s">
        <v>529</v>
      </c>
      <c r="C28" s="207">
        <v>8</v>
      </c>
      <c r="D28" s="214">
        <v>1</v>
      </c>
      <c r="G28" s="203">
        <v>1</v>
      </c>
      <c r="H28" s="203"/>
      <c r="I28" s="209">
        <v>1</v>
      </c>
      <c r="K28" s="203">
        <v>1</v>
      </c>
      <c r="L28" s="203"/>
      <c r="M28" s="203"/>
      <c r="N28" s="203"/>
      <c r="O28" s="203"/>
      <c r="P28" s="214">
        <v>1</v>
      </c>
      <c r="Q28" s="203"/>
      <c r="R28" s="203"/>
      <c r="S28" s="203"/>
      <c r="T28" s="200"/>
      <c r="U28" s="203"/>
      <c r="V28" s="203"/>
      <c r="W28" s="203">
        <v>1</v>
      </c>
      <c r="Y28" s="203"/>
      <c r="AD28" s="205">
        <v>1</v>
      </c>
    </row>
    <row r="29" spans="1:32" x14ac:dyDescent="0.3">
      <c r="A29" s="200">
        <v>40</v>
      </c>
      <c r="B29" s="270" t="s">
        <v>530</v>
      </c>
      <c r="C29" s="207">
        <v>8</v>
      </c>
      <c r="D29" s="203"/>
      <c r="F29" s="214">
        <v>1</v>
      </c>
      <c r="G29" s="203"/>
      <c r="H29" s="203"/>
      <c r="I29" s="203"/>
      <c r="K29" s="203">
        <v>1</v>
      </c>
      <c r="L29" s="209">
        <v>1</v>
      </c>
      <c r="M29" s="209"/>
      <c r="N29" s="209"/>
      <c r="O29" s="209"/>
      <c r="P29" s="214">
        <v>1</v>
      </c>
      <c r="Q29" s="202">
        <v>1</v>
      </c>
      <c r="R29" s="220">
        <v>1</v>
      </c>
      <c r="S29" s="209">
        <v>1</v>
      </c>
      <c r="T29" s="199"/>
      <c r="U29" s="217">
        <v>1</v>
      </c>
      <c r="V29" s="203"/>
      <c r="W29" s="203"/>
      <c r="Y29" s="203"/>
      <c r="AA29" s="202">
        <v>1</v>
      </c>
      <c r="AC29" s="202">
        <v>1</v>
      </c>
      <c r="AD29" s="205">
        <v>1</v>
      </c>
    </row>
    <row r="30" spans="1:32" x14ac:dyDescent="0.3">
      <c r="A30" s="200">
        <v>71</v>
      </c>
      <c r="B30" s="271" t="s">
        <v>533</v>
      </c>
      <c r="C30" s="207">
        <v>9</v>
      </c>
      <c r="D30" s="203"/>
      <c r="E30" s="202">
        <v>1</v>
      </c>
      <c r="G30" s="203">
        <v>1</v>
      </c>
      <c r="H30" s="203"/>
      <c r="I30" s="209">
        <v>1</v>
      </c>
      <c r="J30" s="202">
        <v>1</v>
      </c>
      <c r="K30" s="203">
        <v>1</v>
      </c>
      <c r="L30" s="209">
        <v>1</v>
      </c>
      <c r="M30" s="209"/>
      <c r="N30" s="233">
        <v>1</v>
      </c>
      <c r="O30" s="209"/>
      <c r="P30" s="237">
        <v>1</v>
      </c>
      <c r="Q30" s="203"/>
      <c r="R30" s="203"/>
      <c r="S30" s="205">
        <v>1</v>
      </c>
      <c r="T30" s="215">
        <v>1</v>
      </c>
      <c r="U30" s="205"/>
      <c r="V30" s="203"/>
      <c r="W30" s="203">
        <v>1</v>
      </c>
      <c r="Y30" s="209">
        <v>1</v>
      </c>
      <c r="AA30" s="202">
        <v>1</v>
      </c>
      <c r="AD30" s="205">
        <v>1</v>
      </c>
    </row>
    <row r="31" spans="1:32" s="207" customFormat="1" x14ac:dyDescent="0.3">
      <c r="B31" s="271" t="s">
        <v>675</v>
      </c>
      <c r="C31" s="207">
        <v>2</v>
      </c>
      <c r="L31" s="209">
        <v>1</v>
      </c>
      <c r="AA31" s="202">
        <v>1</v>
      </c>
    </row>
    <row r="32" spans="1:32" x14ac:dyDescent="0.3">
      <c r="D32" s="199">
        <f>SUM(D3:D31)</f>
        <v>16</v>
      </c>
      <c r="E32" s="199">
        <f>SUM(E3:E31)</f>
        <v>5</v>
      </c>
      <c r="F32" s="199">
        <f t="shared" ref="F32:AF32" si="0">SUM(F3:F31)</f>
        <v>7</v>
      </c>
      <c r="G32" s="199">
        <f t="shared" si="0"/>
        <v>15</v>
      </c>
      <c r="H32" s="199">
        <f t="shared" si="0"/>
        <v>8</v>
      </c>
      <c r="I32" s="199">
        <f t="shared" si="0"/>
        <v>10</v>
      </c>
      <c r="J32" s="199">
        <f t="shared" si="0"/>
        <v>3</v>
      </c>
      <c r="K32" s="199">
        <f t="shared" si="0"/>
        <v>15</v>
      </c>
      <c r="L32" s="199">
        <f t="shared" si="0"/>
        <v>19</v>
      </c>
      <c r="M32" s="199">
        <f t="shared" si="0"/>
        <v>5</v>
      </c>
      <c r="N32" s="199">
        <f t="shared" si="0"/>
        <v>7</v>
      </c>
      <c r="O32" s="199">
        <f t="shared" si="0"/>
        <v>6</v>
      </c>
      <c r="P32" s="199">
        <f t="shared" si="0"/>
        <v>13</v>
      </c>
      <c r="Q32" s="199">
        <f t="shared" si="0"/>
        <v>7</v>
      </c>
      <c r="R32" s="199">
        <f t="shared" si="0"/>
        <v>7</v>
      </c>
      <c r="S32" s="199">
        <f t="shared" si="0"/>
        <v>11</v>
      </c>
      <c r="T32" s="199">
        <f t="shared" si="0"/>
        <v>5</v>
      </c>
      <c r="U32" s="199">
        <f t="shared" si="0"/>
        <v>6</v>
      </c>
      <c r="V32" s="199">
        <f t="shared" si="0"/>
        <v>4</v>
      </c>
      <c r="W32" s="199">
        <f t="shared" si="0"/>
        <v>20</v>
      </c>
      <c r="X32" s="199">
        <f t="shared" si="0"/>
        <v>3</v>
      </c>
      <c r="Y32" s="199">
        <f t="shared" si="0"/>
        <v>14</v>
      </c>
      <c r="Z32" s="199">
        <f t="shared" si="0"/>
        <v>1</v>
      </c>
      <c r="AA32" s="199">
        <f t="shared" si="0"/>
        <v>16</v>
      </c>
      <c r="AB32" s="199">
        <f t="shared" si="0"/>
        <v>5</v>
      </c>
      <c r="AC32" s="199">
        <f t="shared" si="0"/>
        <v>5</v>
      </c>
      <c r="AD32" s="199">
        <f t="shared" si="0"/>
        <v>13</v>
      </c>
      <c r="AE32" s="199">
        <f t="shared" si="0"/>
        <v>4</v>
      </c>
      <c r="AF32" s="199">
        <f t="shared" si="0"/>
        <v>0</v>
      </c>
    </row>
    <row r="33" spans="4:31" x14ac:dyDescent="0.3">
      <c r="D33" s="201">
        <f>D32/28</f>
        <v>0.5714285714285714</v>
      </c>
      <c r="E33" s="201">
        <f>E32/28</f>
        <v>0.17857142857142858</v>
      </c>
      <c r="F33" s="201">
        <f t="shared" ref="F33:AE33" si="1">F32/28</f>
        <v>0.25</v>
      </c>
      <c r="G33" s="201">
        <f t="shared" si="1"/>
        <v>0.5357142857142857</v>
      </c>
      <c r="H33" s="201">
        <f t="shared" si="1"/>
        <v>0.2857142857142857</v>
      </c>
      <c r="I33" s="201">
        <f t="shared" si="1"/>
        <v>0.35714285714285715</v>
      </c>
      <c r="J33" s="201">
        <f t="shared" si="1"/>
        <v>0.10714285714285714</v>
      </c>
      <c r="K33" s="201">
        <f t="shared" si="1"/>
        <v>0.5357142857142857</v>
      </c>
      <c r="L33" s="201">
        <f t="shared" si="1"/>
        <v>0.6785714285714286</v>
      </c>
      <c r="M33" s="201">
        <f t="shared" si="1"/>
        <v>0.17857142857142858</v>
      </c>
      <c r="N33" s="201">
        <f t="shared" si="1"/>
        <v>0.25</v>
      </c>
      <c r="O33" s="201">
        <f t="shared" si="1"/>
        <v>0.21428571428571427</v>
      </c>
      <c r="P33" s="201">
        <f t="shared" si="1"/>
        <v>0.4642857142857143</v>
      </c>
      <c r="Q33" s="201">
        <f t="shared" si="1"/>
        <v>0.25</v>
      </c>
      <c r="R33" s="201">
        <f t="shared" si="1"/>
        <v>0.25</v>
      </c>
      <c r="S33" s="201">
        <f t="shared" si="1"/>
        <v>0.39285714285714285</v>
      </c>
      <c r="T33" s="201">
        <f t="shared" si="1"/>
        <v>0.17857142857142858</v>
      </c>
      <c r="U33" s="201">
        <f t="shared" si="1"/>
        <v>0.21428571428571427</v>
      </c>
      <c r="V33" s="201">
        <f t="shared" si="1"/>
        <v>0.14285714285714285</v>
      </c>
      <c r="W33" s="201">
        <f t="shared" si="1"/>
        <v>0.7142857142857143</v>
      </c>
      <c r="X33" s="201">
        <f t="shared" si="1"/>
        <v>0.10714285714285714</v>
      </c>
      <c r="Y33" s="201">
        <f t="shared" si="1"/>
        <v>0.5</v>
      </c>
      <c r="Z33" s="201">
        <f t="shared" si="1"/>
        <v>3.5714285714285712E-2</v>
      </c>
      <c r="AA33" s="201">
        <f t="shared" si="1"/>
        <v>0.5714285714285714</v>
      </c>
      <c r="AB33" s="201">
        <f t="shared" si="1"/>
        <v>0.17857142857142858</v>
      </c>
      <c r="AC33" s="201">
        <f t="shared" si="1"/>
        <v>0.17857142857142858</v>
      </c>
      <c r="AD33" s="201">
        <f t="shared" si="1"/>
        <v>0.4642857142857143</v>
      </c>
      <c r="AE33" s="201">
        <f t="shared" si="1"/>
        <v>0.14285714285714285</v>
      </c>
    </row>
  </sheetData>
  <phoneticPr fontId="5" type="noConversion"/>
  <conditionalFormatting sqref="A2:B31">
    <cfRule type="cellIs" dxfId="32" priority="4" operator="equal">
      <formula>1</formula>
    </cfRule>
    <cfRule type="cellIs" dxfId="31" priority="5" operator="equal">
      <formula>2</formula>
    </cfRule>
  </conditionalFormatting>
  <conditionalFormatting sqref="B3:B31">
    <cfRule type="cellIs" dxfId="30" priority="6" operator="equal">
      <formula>2</formula>
    </cfRule>
  </conditionalFormatting>
  <conditionalFormatting sqref="D2:AD2 A2:B2">
    <cfRule type="cellIs" dxfId="29" priority="25" operator="equal">
      <formula>2</formula>
    </cfRule>
  </conditionalFormatting>
  <conditionalFormatting sqref="D2:AD2">
    <cfRule type="cellIs" dxfId="28" priority="24" operator="equal">
      <formula>1</formula>
    </cfRule>
  </conditionalFormatting>
  <conditionalFormatting sqref="D3:AE31">
    <cfRule type="cellIs" dxfId="27" priority="17" operator="equal">
      <formula>1</formula>
    </cfRule>
  </conditionalFormatting>
  <conditionalFormatting sqref="F2">
    <cfRule type="cellIs" dxfId="26" priority="23" operator="equal">
      <formula>1</formula>
    </cfRule>
  </conditionalFormatting>
  <conditionalFormatting sqref="AE1:AE2 D2:AD2 AE34:AE1048576">
    <cfRule type="cellIs" dxfId="25" priority="21" operator="equal">
      <formula>1</formula>
    </cfRule>
    <cfRule type="cellIs" dxfId="24" priority="22" operator="equal">
      <formula>2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A0AB-528F-459F-91D9-1F1B65EE142D}">
  <dimension ref="A1:DB25"/>
  <sheetViews>
    <sheetView topLeftCell="B1" zoomScale="85" zoomScaleNormal="85" workbookViewId="0">
      <pane xSplit="1" ySplit="1" topLeftCell="C2" activePane="bottomRight" state="frozen"/>
      <selection activeCell="B1" sqref="B1"/>
      <selection pane="topRight" activeCell="C1" sqref="C1"/>
      <selection pane="bottomLeft" activeCell="B3" sqref="B3"/>
      <selection pane="bottomRight" activeCell="G21" sqref="G21"/>
    </sheetView>
  </sheetViews>
  <sheetFormatPr defaultColWidth="8.9140625" defaultRowHeight="13" x14ac:dyDescent="0.3"/>
  <cols>
    <col min="1" max="1" width="0" style="198" hidden="1" customWidth="1"/>
    <col min="2" max="2" width="34" style="200" customWidth="1"/>
    <col min="3" max="3" width="11.58203125" style="200" customWidth="1"/>
    <col min="4" max="4" width="9.9140625" style="200" customWidth="1"/>
    <col min="5" max="5" width="11" style="200" customWidth="1"/>
    <col min="6" max="6" width="11.4140625" style="200" customWidth="1"/>
    <col min="7" max="7" width="10.58203125" style="200" customWidth="1"/>
    <col min="8" max="8" width="9" style="200" customWidth="1"/>
    <col min="9" max="9" width="9.4140625" style="200" customWidth="1"/>
    <col min="10" max="10" width="11.4140625" style="200" customWidth="1"/>
    <col min="11" max="11" width="8.33203125" style="200" customWidth="1"/>
    <col min="12" max="12" width="10" style="200" customWidth="1"/>
    <col min="13" max="13" width="12.08203125" style="200" customWidth="1"/>
    <col min="14" max="14" width="10.6640625" style="200" customWidth="1"/>
    <col min="15" max="15" width="7.4140625" style="200" customWidth="1"/>
    <col min="16" max="16" width="12.58203125" style="200" customWidth="1"/>
    <col min="17" max="16384" width="8.9140625" style="206"/>
  </cols>
  <sheetData>
    <row r="1" spans="1:106" s="210" customFormat="1" ht="26.5" x14ac:dyDescent="0.3">
      <c r="A1" s="200" t="s">
        <v>580</v>
      </c>
      <c r="B1" s="200"/>
      <c r="C1" s="200" t="s">
        <v>221</v>
      </c>
      <c r="D1" s="200" t="s">
        <v>256</v>
      </c>
      <c r="E1" s="200" t="s">
        <v>482</v>
      </c>
      <c r="F1" s="200" t="s">
        <v>581</v>
      </c>
      <c r="G1" s="200" t="s">
        <v>582</v>
      </c>
      <c r="H1" s="200" t="s">
        <v>222</v>
      </c>
      <c r="I1" s="200" t="s">
        <v>559</v>
      </c>
      <c r="J1" s="200" t="s">
        <v>484</v>
      </c>
      <c r="K1" s="200" t="s">
        <v>485</v>
      </c>
      <c r="L1" s="200" t="s">
        <v>489</v>
      </c>
      <c r="M1" s="200" t="s">
        <v>554</v>
      </c>
      <c r="N1" s="200" t="s">
        <v>216</v>
      </c>
      <c r="O1" s="200" t="s">
        <v>424</v>
      </c>
      <c r="P1" s="200" t="s">
        <v>461</v>
      </c>
      <c r="Q1" s="210" t="s">
        <v>486</v>
      </c>
    </row>
    <row r="2" spans="1:106" x14ac:dyDescent="0.3">
      <c r="A2" s="229">
        <v>22</v>
      </c>
      <c r="B2" s="200" t="s">
        <v>637</v>
      </c>
      <c r="P2" s="283">
        <v>1</v>
      </c>
    </row>
    <row r="3" spans="1:106" s="227" customFormat="1" x14ac:dyDescent="0.3">
      <c r="A3" s="263">
        <v>68</v>
      </c>
      <c r="B3" s="200" t="s">
        <v>625</v>
      </c>
      <c r="C3" s="200">
        <v>1</v>
      </c>
      <c r="D3" s="200">
        <v>1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  <c r="CO3" s="198"/>
      <c r="CP3" s="198"/>
      <c r="CQ3" s="198"/>
      <c r="CR3" s="198"/>
      <c r="CS3" s="198"/>
      <c r="CT3" s="198"/>
      <c r="CU3" s="198"/>
      <c r="CV3" s="198"/>
      <c r="CW3" s="198"/>
      <c r="CX3" s="198"/>
      <c r="CY3" s="198"/>
      <c r="CZ3" s="198"/>
      <c r="DA3" s="198"/>
      <c r="DB3" s="198"/>
    </row>
    <row r="4" spans="1:106" s="227" customFormat="1" x14ac:dyDescent="0.3">
      <c r="A4" s="263">
        <v>65</v>
      </c>
      <c r="B4" s="200" t="s">
        <v>648</v>
      </c>
      <c r="C4" s="200">
        <v>1</v>
      </c>
      <c r="D4" s="200">
        <v>1</v>
      </c>
      <c r="E4" s="200"/>
      <c r="F4" s="200"/>
      <c r="G4" s="200"/>
      <c r="H4" s="200">
        <v>1</v>
      </c>
      <c r="I4" s="200"/>
      <c r="J4" s="200"/>
      <c r="K4" s="200">
        <v>1</v>
      </c>
      <c r="L4" s="200"/>
      <c r="M4" s="200"/>
      <c r="N4" s="200"/>
      <c r="O4" s="200"/>
      <c r="P4" s="200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198"/>
      <c r="BQ4" s="198"/>
      <c r="BR4" s="198"/>
      <c r="BS4" s="198"/>
      <c r="BT4" s="198"/>
      <c r="BU4" s="198"/>
      <c r="BV4" s="198"/>
      <c r="BW4" s="198"/>
      <c r="BX4" s="198"/>
      <c r="BY4" s="198"/>
      <c r="BZ4" s="198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  <c r="CO4" s="198"/>
      <c r="CP4" s="198"/>
      <c r="CQ4" s="198"/>
      <c r="CR4" s="198"/>
      <c r="CS4" s="198"/>
      <c r="CT4" s="198"/>
      <c r="CU4" s="198"/>
      <c r="CV4" s="198"/>
      <c r="CW4" s="198"/>
      <c r="CX4" s="198"/>
      <c r="CY4" s="198"/>
      <c r="CZ4" s="198"/>
      <c r="DA4" s="198"/>
      <c r="DB4" s="198"/>
    </row>
    <row r="5" spans="1:106" s="227" customFormat="1" x14ac:dyDescent="0.3">
      <c r="A5" s="263">
        <v>64</v>
      </c>
      <c r="B5" s="200" t="s">
        <v>519</v>
      </c>
      <c r="C5" s="200"/>
      <c r="D5" s="200"/>
      <c r="E5" s="200"/>
      <c r="F5" s="200"/>
      <c r="G5" s="200"/>
      <c r="H5" s="200"/>
      <c r="I5" s="200">
        <v>1</v>
      </c>
      <c r="J5" s="200"/>
      <c r="K5" s="200">
        <v>1</v>
      </c>
      <c r="L5" s="200"/>
      <c r="M5" s="200"/>
      <c r="N5" s="200"/>
      <c r="O5" s="200"/>
      <c r="P5" s="200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8"/>
      <c r="BL5" s="198"/>
      <c r="BM5" s="198"/>
      <c r="BN5" s="198"/>
      <c r="BO5" s="198"/>
      <c r="BP5" s="198"/>
      <c r="BQ5" s="198"/>
      <c r="BR5" s="198"/>
      <c r="BS5" s="198"/>
      <c r="BT5" s="198"/>
      <c r="BU5" s="198"/>
      <c r="BV5" s="198"/>
      <c r="BW5" s="198"/>
      <c r="BX5" s="198"/>
      <c r="BY5" s="198"/>
      <c r="BZ5" s="198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  <c r="CO5" s="198"/>
      <c r="CP5" s="198"/>
      <c r="CQ5" s="198"/>
      <c r="CR5" s="198"/>
      <c r="CS5" s="198"/>
      <c r="CT5" s="198"/>
      <c r="CU5" s="198"/>
      <c r="CV5" s="198"/>
      <c r="CW5" s="198"/>
      <c r="CX5" s="198"/>
      <c r="CY5" s="198"/>
      <c r="CZ5" s="198"/>
      <c r="DA5" s="198"/>
      <c r="DB5" s="198"/>
    </row>
    <row r="6" spans="1:106" s="227" customFormat="1" x14ac:dyDescent="0.3">
      <c r="A6" s="263">
        <v>67</v>
      </c>
      <c r="B6" s="200" t="s">
        <v>520</v>
      </c>
      <c r="C6" s="283">
        <v>1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8"/>
      <c r="CE6" s="198"/>
      <c r="CF6" s="198"/>
      <c r="CG6" s="198"/>
      <c r="CH6" s="198"/>
      <c r="CI6" s="198"/>
      <c r="CJ6" s="198"/>
      <c r="CK6" s="198"/>
      <c r="CL6" s="198"/>
      <c r="CM6" s="198"/>
      <c r="CN6" s="198"/>
      <c r="CO6" s="198"/>
      <c r="CP6" s="198"/>
      <c r="CQ6" s="198"/>
      <c r="CR6" s="198"/>
      <c r="CS6" s="198"/>
      <c r="CT6" s="198"/>
      <c r="CU6" s="198"/>
      <c r="CV6" s="198"/>
      <c r="CW6" s="198"/>
      <c r="CX6" s="198"/>
      <c r="CY6" s="198"/>
      <c r="CZ6" s="198"/>
      <c r="DA6" s="198"/>
      <c r="DB6" s="198"/>
    </row>
    <row r="7" spans="1:106" x14ac:dyDescent="0.3">
      <c r="A7" s="266">
        <v>91</v>
      </c>
      <c r="B7" s="200" t="s">
        <v>522</v>
      </c>
      <c r="F7" s="200">
        <v>1</v>
      </c>
      <c r="G7" s="200">
        <v>1</v>
      </c>
    </row>
    <row r="8" spans="1:106" x14ac:dyDescent="0.3">
      <c r="A8" s="266">
        <v>94</v>
      </c>
      <c r="B8" s="200" t="s">
        <v>617</v>
      </c>
      <c r="F8" s="283">
        <v>1</v>
      </c>
    </row>
    <row r="9" spans="1:106" x14ac:dyDescent="0.3">
      <c r="A9" s="267">
        <v>58</v>
      </c>
      <c r="B9" s="200" t="s">
        <v>650</v>
      </c>
      <c r="C9" s="283">
        <v>1</v>
      </c>
    </row>
    <row r="10" spans="1:106" x14ac:dyDescent="0.3">
      <c r="A10" s="268">
        <v>77</v>
      </c>
      <c r="B10" s="200" t="s">
        <v>651</v>
      </c>
      <c r="C10" s="283">
        <v>1</v>
      </c>
    </row>
    <row r="11" spans="1:106" x14ac:dyDescent="0.3">
      <c r="A11" s="268">
        <v>78</v>
      </c>
      <c r="B11" s="200" t="s">
        <v>652</v>
      </c>
      <c r="C11" s="283">
        <v>1</v>
      </c>
    </row>
    <row r="12" spans="1:106" x14ac:dyDescent="0.3">
      <c r="A12" s="269">
        <v>79</v>
      </c>
      <c r="B12" s="200" t="s">
        <v>653</v>
      </c>
      <c r="C12" s="200">
        <v>1</v>
      </c>
      <c r="G12" s="200">
        <v>1</v>
      </c>
      <c r="K12" s="200">
        <v>1</v>
      </c>
    </row>
    <row r="13" spans="1:106" x14ac:dyDescent="0.3">
      <c r="A13" s="269">
        <v>81</v>
      </c>
      <c r="B13" s="200" t="s">
        <v>527</v>
      </c>
      <c r="I13" s="200">
        <v>1</v>
      </c>
      <c r="K13" s="200">
        <v>1</v>
      </c>
    </row>
    <row r="14" spans="1:106" x14ac:dyDescent="0.3">
      <c r="A14" s="269"/>
      <c r="B14" s="200" t="s">
        <v>619</v>
      </c>
      <c r="C14" s="200">
        <v>1</v>
      </c>
      <c r="I14" s="200">
        <v>1</v>
      </c>
      <c r="K14" s="200">
        <v>1</v>
      </c>
      <c r="P14" s="200">
        <v>1</v>
      </c>
    </row>
    <row r="15" spans="1:106" x14ac:dyDescent="0.3">
      <c r="A15" s="232">
        <v>88</v>
      </c>
      <c r="B15" s="200" t="s">
        <v>620</v>
      </c>
      <c r="D15" s="200">
        <v>1</v>
      </c>
      <c r="K15" s="200">
        <v>1</v>
      </c>
    </row>
    <row r="16" spans="1:106" x14ac:dyDescent="0.3">
      <c r="A16" s="232">
        <v>61</v>
      </c>
      <c r="B16" s="200" t="s">
        <v>528</v>
      </c>
      <c r="D16" s="283">
        <v>1</v>
      </c>
    </row>
    <row r="17" spans="1:16" x14ac:dyDescent="0.3">
      <c r="A17" s="232">
        <v>31</v>
      </c>
      <c r="B17" s="200" t="s">
        <v>654</v>
      </c>
      <c r="H17" s="283">
        <v>1</v>
      </c>
    </row>
    <row r="18" spans="1:16" x14ac:dyDescent="0.3">
      <c r="A18" s="200">
        <v>93</v>
      </c>
      <c r="B18" s="200" t="s">
        <v>531</v>
      </c>
      <c r="F18" s="200">
        <v>1</v>
      </c>
      <c r="G18" s="200">
        <v>1</v>
      </c>
    </row>
    <row r="19" spans="1:16" x14ac:dyDescent="0.3">
      <c r="B19" s="200" t="s">
        <v>621</v>
      </c>
      <c r="F19" s="200">
        <v>1</v>
      </c>
      <c r="G19" s="200">
        <v>1</v>
      </c>
    </row>
    <row r="20" spans="1:16" x14ac:dyDescent="0.3">
      <c r="B20" s="200" t="s">
        <v>534</v>
      </c>
      <c r="G20" s="283">
        <v>1</v>
      </c>
    </row>
    <row r="21" spans="1:16" x14ac:dyDescent="0.3">
      <c r="B21" s="200" t="s">
        <v>678</v>
      </c>
      <c r="G21" s="283">
        <v>1</v>
      </c>
    </row>
    <row r="22" spans="1:16" x14ac:dyDescent="0.3">
      <c r="B22" s="200" t="s">
        <v>622</v>
      </c>
      <c r="K22" s="283">
        <v>1</v>
      </c>
    </row>
    <row r="23" spans="1:16" x14ac:dyDescent="0.3">
      <c r="B23" s="200" t="s">
        <v>535</v>
      </c>
      <c r="K23" s="283">
        <v>1</v>
      </c>
    </row>
    <row r="24" spans="1:16" x14ac:dyDescent="0.3">
      <c r="B24" s="200" t="s">
        <v>623</v>
      </c>
      <c r="O24" s="283">
        <v>1</v>
      </c>
    </row>
    <row r="25" spans="1:16" x14ac:dyDescent="0.3">
      <c r="B25" s="200" t="s">
        <v>624</v>
      </c>
      <c r="P25" s="283">
        <v>1</v>
      </c>
    </row>
  </sheetData>
  <phoneticPr fontId="5" type="noConversion"/>
  <conditionalFormatting sqref="A1:P1 B2:B25 B26:P1048576">
    <cfRule type="cellIs" dxfId="23" priority="4" operator="equal">
      <formula>2</formula>
    </cfRule>
  </conditionalFormatting>
  <conditionalFormatting sqref="B1:P1 A1:B25 B26:P1048576">
    <cfRule type="cellIs" dxfId="22" priority="2" operator="equal">
      <formula>1</formula>
    </cfRule>
    <cfRule type="cellIs" dxfId="21" priority="3" operator="equal">
      <formula>2</formula>
    </cfRule>
  </conditionalFormatting>
  <conditionalFormatting sqref="P26:P1048576">
    <cfRule type="cellIs" dxfId="20" priority="6" operator="equal">
      <formula>2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7B32-2654-4FAA-879A-FFF04C7095FA}">
  <dimension ref="A1:CT8"/>
  <sheetViews>
    <sheetView topLeftCell="B1" zoomScale="85" zoomScaleNormal="85" workbookViewId="0">
      <pane xSplit="1" ySplit="1" topLeftCell="C2" activePane="bottomRight" state="frozen"/>
      <selection activeCell="B1" sqref="B1"/>
      <selection pane="topRight" activeCell="C1" sqref="C1"/>
      <selection pane="bottomLeft" activeCell="B3" sqref="B3"/>
      <selection pane="bottomRight" activeCell="C20" sqref="C20"/>
    </sheetView>
  </sheetViews>
  <sheetFormatPr defaultColWidth="8.9140625" defaultRowHeight="13" x14ac:dyDescent="0.3"/>
  <cols>
    <col min="1" max="1" width="0" style="198" hidden="1" customWidth="1"/>
    <col min="2" max="2" width="34" style="199" customWidth="1"/>
    <col min="3" max="3" width="11" style="206" customWidth="1"/>
    <col min="4" max="4" width="9.4140625" style="206" customWidth="1"/>
    <col min="5" max="5" width="8.33203125" style="206" customWidth="1"/>
    <col min="6" max="6" width="8.58203125" style="206" customWidth="1"/>
    <col min="7" max="7" width="10" style="206" customWidth="1"/>
    <col min="8" max="8" width="12.58203125" style="206" customWidth="1"/>
    <col min="9" max="16384" width="8.9140625" style="206"/>
  </cols>
  <sheetData>
    <row r="1" spans="1:98" s="210" customFormat="1" ht="26" x14ac:dyDescent="0.25">
      <c r="A1" s="200" t="s">
        <v>580</v>
      </c>
      <c r="B1" s="272" t="s">
        <v>602</v>
      </c>
      <c r="C1" s="206" t="s">
        <v>482</v>
      </c>
      <c r="D1" s="206" t="s">
        <v>559</v>
      </c>
      <c r="E1" s="206" t="s">
        <v>485</v>
      </c>
      <c r="F1" s="206" t="s">
        <v>486</v>
      </c>
      <c r="G1" s="206" t="s">
        <v>489</v>
      </c>
      <c r="H1" s="206" t="s">
        <v>461</v>
      </c>
      <c r="I1" s="210" t="s">
        <v>669</v>
      </c>
    </row>
    <row r="2" spans="1:98" x14ac:dyDescent="0.3">
      <c r="A2" s="229">
        <v>22</v>
      </c>
      <c r="B2" s="264" t="s">
        <v>609</v>
      </c>
      <c r="H2" s="206">
        <v>1</v>
      </c>
    </row>
    <row r="3" spans="1:98" s="227" customFormat="1" x14ac:dyDescent="0.3">
      <c r="A3" s="263">
        <v>64</v>
      </c>
      <c r="B3" s="264" t="s">
        <v>519</v>
      </c>
      <c r="C3" s="206"/>
      <c r="D3" s="206">
        <v>1</v>
      </c>
      <c r="E3" s="206">
        <v>1</v>
      </c>
      <c r="F3" s="206"/>
      <c r="G3" s="206"/>
      <c r="H3" s="206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  <c r="CO3" s="198"/>
      <c r="CP3" s="198"/>
      <c r="CQ3" s="198"/>
      <c r="CR3" s="198"/>
      <c r="CS3" s="198"/>
      <c r="CT3" s="198"/>
    </row>
    <row r="4" spans="1:98" x14ac:dyDescent="0.3">
      <c r="A4" s="269">
        <v>81</v>
      </c>
      <c r="B4" s="264" t="s">
        <v>527</v>
      </c>
      <c r="D4" s="206">
        <v>1</v>
      </c>
      <c r="E4" s="206">
        <v>1</v>
      </c>
    </row>
    <row r="5" spans="1:98" x14ac:dyDescent="0.3">
      <c r="B5" s="264" t="s">
        <v>628</v>
      </c>
      <c r="E5" s="206">
        <v>1</v>
      </c>
    </row>
    <row r="6" spans="1:98" x14ac:dyDescent="0.3">
      <c r="B6" s="264" t="s">
        <v>535</v>
      </c>
      <c r="E6" s="206">
        <v>1</v>
      </c>
    </row>
    <row r="7" spans="1:98" x14ac:dyDescent="0.3">
      <c r="B7" s="264" t="s">
        <v>624</v>
      </c>
      <c r="H7" s="206">
        <v>1</v>
      </c>
    </row>
    <row r="8" spans="1:98" x14ac:dyDescent="0.3">
      <c r="B8" s="200" t="s">
        <v>623</v>
      </c>
      <c r="I8" s="206">
        <v>1</v>
      </c>
    </row>
  </sheetData>
  <phoneticPr fontId="5" type="noConversion"/>
  <conditionalFormatting sqref="A1:B1 A2 A3:B6 A7">
    <cfRule type="cellIs" dxfId="19" priority="19" operator="equal">
      <formula>1</formula>
    </cfRule>
  </conditionalFormatting>
  <conditionalFormatting sqref="A1:B1">
    <cfRule type="cellIs" dxfId="18" priority="26" operator="equal">
      <formula>2</formula>
    </cfRule>
  </conditionalFormatting>
  <conditionalFormatting sqref="A1:B6">
    <cfRule type="cellIs" dxfId="17" priority="16" operator="equal">
      <formula>2</formula>
    </cfRule>
  </conditionalFormatting>
  <conditionalFormatting sqref="A7:B7">
    <cfRule type="cellIs" dxfId="16" priority="9" operator="equal">
      <formula>2</formula>
    </cfRule>
  </conditionalFormatting>
  <conditionalFormatting sqref="B2">
    <cfRule type="cellIs" dxfId="15" priority="12" operator="equal">
      <formula>2</formula>
    </cfRule>
    <cfRule type="cellIs" dxfId="14" priority="14" operator="equal">
      <formula>2</formula>
    </cfRule>
    <cfRule type="cellIs" dxfId="13" priority="17" operator="equal">
      <formula>2</formula>
    </cfRule>
  </conditionalFormatting>
  <conditionalFormatting sqref="B2:B7">
    <cfRule type="cellIs" dxfId="12" priority="20" operator="equal">
      <formula>2</formula>
    </cfRule>
    <cfRule type="cellIs" dxfId="11" priority="21" operator="equal">
      <formula>2</formula>
    </cfRule>
  </conditionalFormatting>
  <conditionalFormatting sqref="B2:B8">
    <cfRule type="cellIs" dxfId="10" priority="1" operator="equal">
      <formula>1</formula>
    </cfRule>
  </conditionalFormatting>
  <conditionalFormatting sqref="B7">
    <cfRule type="cellIs" dxfId="9" priority="10" operator="equal">
      <formula>2</formula>
    </cfRule>
  </conditionalFormatting>
  <conditionalFormatting sqref="B7:B8">
    <cfRule type="cellIs" dxfId="8" priority="2" operator="equal">
      <formula>2</formula>
    </cfRule>
    <cfRule type="cellIs" dxfId="7" priority="3" operator="equal">
      <formula>2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1D56-77BA-4371-8B8C-E581841BDE67}">
  <dimension ref="A1:F33"/>
  <sheetViews>
    <sheetView tabSelected="1" topLeftCell="B1" zoomScale="85" zoomScaleNormal="85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D34" sqref="D34"/>
    </sheetView>
  </sheetViews>
  <sheetFormatPr defaultColWidth="8.9140625" defaultRowHeight="13" x14ac:dyDescent="0.3"/>
  <cols>
    <col min="1" max="1" width="0" style="198" hidden="1" customWidth="1"/>
    <col min="2" max="2" width="34" style="199" customWidth="1"/>
    <col min="3" max="3" width="11.58203125" style="201" customWidth="1"/>
    <col min="4" max="4" width="9.9140625" style="201" customWidth="1"/>
    <col min="5" max="5" width="10.08203125" style="201" customWidth="1"/>
    <col min="6" max="6" width="11.58203125" style="201" customWidth="1"/>
    <col min="7" max="16384" width="8.9140625" style="206"/>
  </cols>
  <sheetData>
    <row r="1" spans="1:6" ht="40.5" x14ac:dyDescent="0.3">
      <c r="B1" s="199" t="s">
        <v>578</v>
      </c>
    </row>
    <row r="2" spans="1:6" s="210" customFormat="1" ht="26.5" x14ac:dyDescent="0.3">
      <c r="A2" s="200" t="s">
        <v>580</v>
      </c>
      <c r="B2" s="207"/>
      <c r="C2" s="203" t="s">
        <v>221</v>
      </c>
      <c r="D2" s="203" t="s">
        <v>256</v>
      </c>
      <c r="E2" s="208" t="s">
        <v>483</v>
      </c>
      <c r="F2" s="208" t="s">
        <v>556</v>
      </c>
    </row>
    <row r="3" spans="1:6" x14ac:dyDescent="0.3">
      <c r="A3" s="211">
        <v>2</v>
      </c>
      <c r="B3" s="212" t="s">
        <v>538</v>
      </c>
      <c r="C3" s="203"/>
      <c r="D3" s="203"/>
      <c r="E3" s="203"/>
      <c r="F3" s="203"/>
    </row>
    <row r="4" spans="1:6" x14ac:dyDescent="0.3">
      <c r="A4" s="211">
        <v>3</v>
      </c>
      <c r="B4" s="213" t="s">
        <v>490</v>
      </c>
      <c r="C4" s="203"/>
      <c r="D4" s="203"/>
      <c r="E4" s="203"/>
      <c r="F4" s="203">
        <v>1</v>
      </c>
    </row>
    <row r="5" spans="1:6" x14ac:dyDescent="0.3">
      <c r="A5" s="211">
        <v>4</v>
      </c>
      <c r="B5" s="213" t="s">
        <v>491</v>
      </c>
      <c r="C5" s="203"/>
      <c r="D5" s="217">
        <v>1</v>
      </c>
      <c r="E5" s="209">
        <v>1</v>
      </c>
      <c r="F5" s="203"/>
    </row>
    <row r="6" spans="1:6" ht="36.9" customHeight="1" x14ac:dyDescent="0.3">
      <c r="A6" s="211">
        <v>7</v>
      </c>
      <c r="B6" s="213" t="s">
        <v>492</v>
      </c>
      <c r="C6" s="203">
        <v>1</v>
      </c>
      <c r="D6" s="217">
        <v>1</v>
      </c>
      <c r="E6" s="203"/>
      <c r="F6" s="203"/>
    </row>
    <row r="7" spans="1:6" x14ac:dyDescent="0.3">
      <c r="A7" s="211">
        <v>6</v>
      </c>
      <c r="B7" s="213" t="s">
        <v>493</v>
      </c>
      <c r="C7" s="203">
        <v>1</v>
      </c>
      <c r="D7" s="203"/>
      <c r="E7" s="203"/>
      <c r="F7" s="205">
        <v>1</v>
      </c>
    </row>
    <row r="8" spans="1:6" ht="67.25" customHeight="1" x14ac:dyDescent="0.3">
      <c r="A8" s="224">
        <v>11</v>
      </c>
      <c r="B8" s="225" t="s">
        <v>566</v>
      </c>
      <c r="C8" s="203"/>
      <c r="D8" s="203"/>
      <c r="E8" s="226">
        <v>1</v>
      </c>
      <c r="F8" s="203"/>
    </row>
    <row r="9" spans="1:6" ht="43" customHeight="1" x14ac:dyDescent="0.3">
      <c r="A9" s="236">
        <v>24</v>
      </c>
      <c r="B9" s="225" t="s">
        <v>610</v>
      </c>
      <c r="C9" s="203">
        <v>1</v>
      </c>
      <c r="D9" s="203"/>
      <c r="E9" s="203"/>
      <c r="F9" s="203"/>
    </row>
    <row r="10" spans="1:6" x14ac:dyDescent="0.3">
      <c r="A10" s="240">
        <v>33</v>
      </c>
      <c r="B10" s="225" t="s">
        <v>640</v>
      </c>
      <c r="C10" s="203"/>
      <c r="D10" s="203"/>
      <c r="E10" s="203"/>
      <c r="F10" s="205">
        <v>1</v>
      </c>
    </row>
    <row r="11" spans="1:6" ht="86" customHeight="1" x14ac:dyDescent="0.3">
      <c r="A11" s="242" t="s">
        <v>467</v>
      </c>
      <c r="B11" s="225" t="s">
        <v>642</v>
      </c>
      <c r="C11" s="203"/>
      <c r="D11" s="217">
        <v>1</v>
      </c>
      <c r="E11" s="203"/>
      <c r="F11" s="205">
        <v>1</v>
      </c>
    </row>
    <row r="12" spans="1:6" x14ac:dyDescent="0.3">
      <c r="A12" s="241"/>
      <c r="B12" s="243" t="s">
        <v>540</v>
      </c>
      <c r="C12" s="203"/>
      <c r="D12" s="217">
        <v>1</v>
      </c>
      <c r="E12" s="209">
        <v>1</v>
      </c>
      <c r="F12" s="209"/>
    </row>
    <row r="13" spans="1:6" ht="23.5" customHeight="1" x14ac:dyDescent="0.3">
      <c r="A13" s="241">
        <v>41</v>
      </c>
      <c r="B13" s="213" t="s">
        <v>503</v>
      </c>
      <c r="C13" s="203"/>
      <c r="D13" s="203">
        <v>1</v>
      </c>
      <c r="E13" s="203">
        <v>1</v>
      </c>
      <c r="F13" s="205">
        <v>1</v>
      </c>
    </row>
    <row r="14" spans="1:6" x14ac:dyDescent="0.3">
      <c r="A14" s="241">
        <v>42</v>
      </c>
      <c r="B14" s="213" t="s">
        <v>504</v>
      </c>
      <c r="C14" s="203"/>
      <c r="D14" s="203">
        <v>1</v>
      </c>
      <c r="E14" s="203">
        <v>1</v>
      </c>
      <c r="F14" s="203"/>
    </row>
    <row r="15" spans="1:6" x14ac:dyDescent="0.3">
      <c r="A15" s="241">
        <v>59</v>
      </c>
      <c r="B15" s="245" t="s">
        <v>644</v>
      </c>
      <c r="C15" s="203"/>
      <c r="D15" s="203"/>
      <c r="E15" s="203"/>
      <c r="F15" s="203"/>
    </row>
    <row r="16" spans="1:6" ht="27.9" customHeight="1" x14ac:dyDescent="0.3">
      <c r="A16" s="246">
        <v>63</v>
      </c>
      <c r="B16" s="225" t="s">
        <v>506</v>
      </c>
      <c r="C16" s="203"/>
      <c r="D16" s="203"/>
      <c r="E16" s="226">
        <v>1</v>
      </c>
      <c r="F16" s="203"/>
    </row>
    <row r="17" spans="1:6" x14ac:dyDescent="0.3">
      <c r="A17" s="250">
        <v>19</v>
      </c>
      <c r="B17" s="245" t="s">
        <v>510</v>
      </c>
      <c r="C17" s="214">
        <v>1</v>
      </c>
      <c r="D17" s="214"/>
      <c r="E17" s="209">
        <v>1</v>
      </c>
      <c r="F17" s="209"/>
    </row>
    <row r="18" spans="1:6" x14ac:dyDescent="0.3">
      <c r="A18" s="252">
        <v>43</v>
      </c>
      <c r="B18" s="243" t="s">
        <v>545</v>
      </c>
      <c r="C18" s="214">
        <v>1</v>
      </c>
      <c r="D18" s="214"/>
      <c r="E18" s="209">
        <v>1</v>
      </c>
      <c r="F18" s="209"/>
    </row>
    <row r="19" spans="1:6" x14ac:dyDescent="0.3">
      <c r="A19" s="253">
        <v>44</v>
      </c>
      <c r="B19" s="213" t="s">
        <v>511</v>
      </c>
      <c r="C19" s="214">
        <v>1</v>
      </c>
      <c r="D19" s="217">
        <v>1</v>
      </c>
      <c r="E19" s="203">
        <v>1</v>
      </c>
      <c r="F19" s="203"/>
    </row>
    <row r="20" spans="1:6" x14ac:dyDescent="0.3">
      <c r="A20" s="254">
        <v>45</v>
      </c>
      <c r="B20" s="213" t="s">
        <v>512</v>
      </c>
      <c r="C20" s="214">
        <v>1</v>
      </c>
      <c r="D20" s="214"/>
      <c r="E20" s="203">
        <v>1</v>
      </c>
      <c r="F20" s="203"/>
    </row>
    <row r="21" spans="1:6" x14ac:dyDescent="0.3">
      <c r="A21" s="255">
        <v>46</v>
      </c>
      <c r="B21" s="256" t="s">
        <v>550</v>
      </c>
      <c r="C21" s="214">
        <v>1</v>
      </c>
      <c r="D21" s="214"/>
      <c r="E21" s="209">
        <v>1</v>
      </c>
      <c r="F21" s="209"/>
    </row>
    <row r="22" spans="1:6" x14ac:dyDescent="0.3">
      <c r="A22" s="250">
        <v>47</v>
      </c>
      <c r="B22" s="213" t="s">
        <v>513</v>
      </c>
      <c r="C22" s="214">
        <v>1</v>
      </c>
      <c r="D22" s="257">
        <v>1</v>
      </c>
      <c r="E22" s="203">
        <v>1</v>
      </c>
      <c r="F22" s="203"/>
    </row>
    <row r="23" spans="1:6" x14ac:dyDescent="0.3">
      <c r="A23" s="258">
        <v>48</v>
      </c>
      <c r="B23" s="213" t="s">
        <v>514</v>
      </c>
      <c r="C23" s="214">
        <v>1</v>
      </c>
      <c r="D23" s="214"/>
      <c r="E23" s="203">
        <v>1</v>
      </c>
      <c r="F23" s="203"/>
    </row>
    <row r="24" spans="1:6" x14ac:dyDescent="0.3">
      <c r="A24" s="259">
        <v>49</v>
      </c>
      <c r="B24" s="213" t="s">
        <v>515</v>
      </c>
      <c r="C24" s="214">
        <v>1</v>
      </c>
      <c r="D24" s="214"/>
      <c r="E24" s="203">
        <v>1</v>
      </c>
      <c r="F24" s="203"/>
    </row>
    <row r="25" spans="1:6" x14ac:dyDescent="0.3">
      <c r="A25" s="260">
        <v>50</v>
      </c>
      <c r="B25" s="213" t="s">
        <v>516</v>
      </c>
      <c r="C25" s="214">
        <v>1</v>
      </c>
      <c r="D25" s="214"/>
      <c r="E25" s="203">
        <v>1</v>
      </c>
      <c r="F25" s="203"/>
    </row>
    <row r="26" spans="1:6" x14ac:dyDescent="0.3">
      <c r="A26" s="261">
        <v>51</v>
      </c>
      <c r="B26" s="213" t="s">
        <v>517</v>
      </c>
      <c r="C26" s="214">
        <v>1</v>
      </c>
      <c r="D26" s="214"/>
      <c r="E26" s="203">
        <v>1</v>
      </c>
      <c r="F26" s="203"/>
    </row>
    <row r="27" spans="1:6" x14ac:dyDescent="0.3">
      <c r="A27" s="250">
        <v>53</v>
      </c>
      <c r="B27" s="262" t="s">
        <v>518</v>
      </c>
      <c r="C27" s="214"/>
      <c r="D27" s="214"/>
      <c r="E27" s="203"/>
      <c r="F27" s="203"/>
    </row>
    <row r="28" spans="1:6" x14ac:dyDescent="0.3">
      <c r="A28" s="200">
        <v>39</v>
      </c>
      <c r="B28" s="270" t="s">
        <v>529</v>
      </c>
      <c r="C28" s="203">
        <v>1</v>
      </c>
      <c r="D28" s="203"/>
      <c r="E28" s="203"/>
      <c r="F28" s="203"/>
    </row>
    <row r="29" spans="1:6" x14ac:dyDescent="0.3">
      <c r="A29" s="200">
        <v>40</v>
      </c>
      <c r="B29" s="270" t="s">
        <v>530</v>
      </c>
      <c r="C29" s="203"/>
      <c r="D29" s="203"/>
      <c r="E29" s="209">
        <v>1</v>
      </c>
      <c r="F29" s="209"/>
    </row>
    <row r="30" spans="1:6" x14ac:dyDescent="0.3">
      <c r="A30" s="200">
        <v>71</v>
      </c>
      <c r="B30" s="271" t="s">
        <v>533</v>
      </c>
      <c r="C30" s="203">
        <v>1</v>
      </c>
      <c r="D30" s="203"/>
      <c r="E30" s="209">
        <v>1</v>
      </c>
      <c r="F30" s="209"/>
    </row>
    <row r="31" spans="1:6" x14ac:dyDescent="0.3">
      <c r="A31" s="200"/>
      <c r="B31" s="271" t="s">
        <v>675</v>
      </c>
      <c r="C31" s="203"/>
      <c r="D31" s="203"/>
      <c r="E31" s="209">
        <v>1</v>
      </c>
      <c r="F31" s="209"/>
    </row>
    <row r="32" spans="1:6" x14ac:dyDescent="0.3">
      <c r="C32" s="199">
        <f>SUM(C3:C31)</f>
        <v>15</v>
      </c>
      <c r="D32" s="199">
        <f t="shared" ref="D32:F32" si="0">SUM(D3:D31)</f>
        <v>8</v>
      </c>
      <c r="E32" s="199">
        <f t="shared" si="0"/>
        <v>19</v>
      </c>
      <c r="F32" s="199">
        <f t="shared" si="0"/>
        <v>5</v>
      </c>
    </row>
    <row r="33" spans="3:6" x14ac:dyDescent="0.3">
      <c r="C33" s="201">
        <f t="shared" ref="C33:F33" si="1">C32/28</f>
        <v>0.5357142857142857</v>
      </c>
      <c r="D33" s="201">
        <f t="shared" si="1"/>
        <v>0.2857142857142857</v>
      </c>
      <c r="E33" s="201">
        <f t="shared" si="1"/>
        <v>0.6785714285714286</v>
      </c>
      <c r="F33" s="201">
        <f t="shared" si="1"/>
        <v>0.17857142857142858</v>
      </c>
    </row>
  </sheetData>
  <phoneticPr fontId="5" type="noConversion"/>
  <conditionalFormatting sqref="A2:B31">
    <cfRule type="cellIs" dxfId="6" priority="1" operator="equal">
      <formula>1</formula>
    </cfRule>
    <cfRule type="cellIs" dxfId="5" priority="2" operator="equal">
      <formula>2</formula>
    </cfRule>
  </conditionalFormatting>
  <conditionalFormatting sqref="A2:F2">
    <cfRule type="cellIs" dxfId="4" priority="6" operator="equal">
      <formula>2</formula>
    </cfRule>
  </conditionalFormatting>
  <conditionalFormatting sqref="B3:B31">
    <cfRule type="cellIs" dxfId="3" priority="3" operator="equal">
      <formula>2</formula>
    </cfRule>
  </conditionalFormatting>
  <conditionalFormatting sqref="C2:F2">
    <cfRule type="cellIs" dxfId="2" priority="4" operator="equal">
      <formula>1</formula>
    </cfRule>
    <cfRule type="cellIs" dxfId="1" priority="5" operator="equal">
      <formula>2</formula>
    </cfRule>
  </conditionalFormatting>
  <conditionalFormatting sqref="C3:F31">
    <cfRule type="cellIs" dxfId="0" priority="7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症状表</vt:lpstr>
      <vt:lpstr>编码表</vt:lpstr>
      <vt:lpstr>画图</vt:lpstr>
      <vt:lpstr>jaccard</vt:lpstr>
      <vt:lpstr>dsm-5</vt:lpstr>
      <vt:lpstr>儿童青少年症状</vt:lpstr>
      <vt:lpstr>中国的症状</vt:lpstr>
      <vt:lpstr>四个量表DSM-5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汪浩远</dc:creator>
  <cp:lastModifiedBy>浩远 汪</cp:lastModifiedBy>
  <dcterms:created xsi:type="dcterms:W3CDTF">2015-06-05T18:17:20Z</dcterms:created>
  <dcterms:modified xsi:type="dcterms:W3CDTF">2026-07-01T05:50:20Z</dcterms:modified>
</cp:coreProperties>
</file>